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EME" sheetId="1" state="visible" r:id="rId3"/>
    <sheet name="MI FUTURO" sheetId="2" state="visible" r:id="rId4"/>
    <sheet name="MIS DATOS" sheetId="3" state="visible" r:id="rId5"/>
    <sheet name="MOVIMIENTOS" sheetId="4" state="visible" r:id="rId6"/>
    <sheet name="FLEXIBLE" sheetId="5" state="visible" r:id="rId7"/>
    <sheet name="CASA" sheetId="6" state="visible" r:id="rId8"/>
    <sheet name="DECISIONES" sheetId="7" state="visible" r:id="rId9"/>
    <sheet name="HISTORIAL" sheetId="8" state="visible" r:id="rId10"/>
    <sheet name="VIVIENDA" sheetId="9" state="visible" r:id="rId11"/>
    <sheet name="INMUEBLES" sheetId="10" state="visible" r:id="rId12"/>
    <sheet name="VIAJES" sheetId="11" state="visible" r:id="rId13"/>
    <sheet name="PARÁMETROS" sheetId="12" state="visible" r:id="rId14"/>
    <sheet name="REGLAS" sheetId="13" state="visible" r:id="rId15"/>
    <sheet name="CATEGORÍAS" sheetId="14" state="visible" r:id="rId16"/>
    <sheet name="PROYECCIÓN" sheetId="15" state="visible" r:id="rId17"/>
    <sheet name="PANEL_DATOS" sheetId="16" state="visible" r:id="rId18"/>
  </sheets>
  <definedNames>
    <definedName function="false" hidden="true" localSheetId="3" name="_xlnm._FilterDatabase" vbProcedure="false">MOVIMIENTOS!$A$3:$K$416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<sst xmlns="http://schemas.openxmlformats.org/spreadsheetml/2006/main" count="2389" uniqueCount="1014">
  <si>
    <t xml:space="preserve">PLAN FINANCIERO PERSONAL · cómo se usa</t>
  </si>
  <si>
    <t xml:space="preserve">Viene con datos ficticios de ejemplo. Para usarlo con los tuyos, sigue docs/GUIA_DESPLIEGUE.md del repositorio.</t>
  </si>
  <si>
    <t xml:space="preserve">Cada mes</t>
  </si>
  <si>
    <t xml:space="preserve">1. Descarga</t>
  </si>
  <si>
    <t xml:space="preserve">Los movimientos de tus bancos, en el formato que te da cada uno. Ya se reconocen Openbank (cuenta y tarjeta), CaixaBank e ING; otro banco se añade en BANCOS, en el importador.</t>
  </si>
  <si>
    <t xml:space="preserve">2. Déjalos</t>
  </si>
  <si>
    <t xml:space="preserve">En la carpeta «Movimientos», junto a este sheet (se crea sola la primera vez que importas).</t>
  </si>
  <si>
    <t xml:space="preserve">3. Importa</t>
  </si>
  <si>
    <t xml:space="preserve">Menú Plan financiero → Importar movimientos. No duplica lo que ya estaba, aunque las descargas se solapen.</t>
  </si>
  <si>
    <t xml:space="preserve">4. Revisa</t>
  </si>
  <si>
    <t xml:space="preserve">En MOVIMIENTOS, lo amarillo (Bizum, ingresos en efectivo…): elige categoría y explica en Nota.</t>
  </si>
  <si>
    <t xml:space="preserve">Qué tocas</t>
  </si>
  <si>
    <t xml:space="preserve">MOVIMIENTOS</t>
  </si>
  <si>
    <t xml:space="preserve">Solo las columnas Categoría y Nota.</t>
  </si>
  <si>
    <t xml:space="preserve">REGLAS</t>
  </si>
  <si>
    <t xml:space="preserve">Para que un concepto se categorice solo la próxima vez.</t>
  </si>
  <si>
    <t xml:space="preserve">CATEGORÍAS</t>
  </si>
  <si>
    <t xml:space="preserve">Qué cuenta como ingreso, gasto o traspaso, y qué es de la casa.</t>
  </si>
  <si>
    <t xml:space="preserve">PARÁMETROS</t>
  </si>
  <si>
    <t xml:space="preserve">Edad, jubilación, rentabilidades, pensión. Gastos y ahorro salen de tus datos, pero puedes escribir encima.</t>
  </si>
  <si>
    <t xml:space="preserve">FLEXIBLE</t>
  </si>
  <si>
    <t xml:space="preserve">Si tienes retribución flexible: lo que se descuenta de tu nómina cada mes.</t>
  </si>
  <si>
    <t xml:space="preserve">DECISIONES</t>
  </si>
  <si>
    <t xml:space="preserve">¿Y si invierto parte del efectivo, recorto gastos, compro vivienda ahora o dentro de unos años…?</t>
  </si>
  <si>
    <t xml:space="preserve">HISTORIAL</t>
  </si>
  <si>
    <t xml:space="preserve">Cada vez que cambias una cifra del plan, apunta aquí qué, de qué a qué y por qué.</t>
  </si>
  <si>
    <t xml:space="preserve">VIVIENDA · INMUEBLES</t>
  </si>
  <si>
    <t xml:space="preserve">Precio, hipoteca y alquiler; y lo que tengas en ladrillo.</t>
  </si>
  <si>
    <t xml:space="preserve">VIAJES</t>
  </si>
  <si>
    <t xml:space="preserve">Tu cuenta de viajes: lo que aportas al mes, tu parte de cada viaje, si llega, y qué pasa si aportas otra cantidad.</t>
  </si>
  <si>
    <t xml:space="preserve">Qué miras</t>
  </si>
  <si>
    <t xml:space="preserve">MI FUTURO</t>
  </si>
  <si>
    <t xml:space="preserve">El panel: nivel, patrimonio, jubilación, hitos, medallas de ahorro, decisiones y gráficos.</t>
  </si>
  <si>
    <t xml:space="preserve">CASA</t>
  </si>
  <si>
    <t xml:space="preserve">Gastos de la vivienda por concepto y mes.</t>
  </si>
  <si>
    <t xml:space="preserve">MIS DATOS</t>
  </si>
  <si>
    <t xml:space="preserve">Saldos de fin de mes e ingresos y gastos, solos.</t>
  </si>
  <si>
    <t xml:space="preserve">PANEL_DATOS</t>
  </si>
  <si>
    <t xml:space="preserve">Lo que lee el dashboard. No se toca.</t>
  </si>
  <si>
    <t xml:space="preserve">Colores</t>
  </si>
  <si>
    <t xml:space="preserve">Amarillo con texto azul = lo cambias tú · Verde = viene de otra pestaña o de tus datos · Negro = fórmula.</t>
  </si>
  <si>
    <t xml:space="preserve">Ojo</t>
  </si>
  <si>
    <t xml:space="preserve">Es una herramienta de planificación, no asesoramiento financiero ni fiscal. Las rentabilidades son supuestos.</t>
  </si>
  <si>
    <t xml:space="preserve">MI FUTURO FINANCIERO</t>
  </si>
  <si>
    <t xml:space="preserve">TU NIVEL</t>
  </si>
  <si>
    <t xml:space="preserve">PATRIMONIO LÍQUIDO HOY</t>
  </si>
  <si>
    <t xml:space="preserve">LIBERTAD FINANCIERA HOY</t>
  </si>
  <si>
    <t xml:space="preserve">PATRIMONIO LÍQUIDO</t>
  </si>
  <si>
    <t xml:space="preserve">LO QUE PONES DE TU BOLSILLO</t>
  </si>
  <si>
    <t xml:space="preserve">LO QUE GENERAN TUS INVERSIONES</t>
  </si>
  <si>
    <t xml:space="preserve">EN € DE HOY</t>
  </si>
  <si>
    <t xml:space="preserve">INGRESO MENSUAL (€ DE HOY)</t>
  </si>
  <si>
    <t xml:space="preserve">🏖️ TU JUBILACIÓN · ¿hasta cuándo te dura el dinero?</t>
  </si>
  <si>
    <t xml:space="preserve">SIN DECISIONES</t>
  </si>
  <si>
    <t xml:space="preserve">CON TUS DECISIONES</t>
  </si>
  <si>
    <t xml:space="preserve">LO QUE SACAS EL 1.er AÑO</t>
  </si>
  <si>
    <t xml:space="preserve">PENSIÓN + RENTAS EL 1.er AÑO</t>
  </si>
  <si>
    <t xml:space="preserve">🏆 TUS HITOS · se desbloquean solos según tu plan</t>
  </si>
  <si>
    <t xml:space="preserve">Hito</t>
  </si>
  <si>
    <t xml:space="preserve">Meta</t>
  </si>
  <si>
    <t xml:space="preserve">Hoy</t>
  </si>
  <si>
    <t xml:space="preserve">%</t>
  </si>
  <si>
    <t xml:space="preserve">Año</t>
  </si>
  <si>
    <t xml:space="preserve">Edad</t>
  </si>
  <si>
    <t xml:space="preserve">Faltan (años)</t>
  </si>
  <si>
    <t xml:space="preserve">Estado</t>
  </si>
  <si>
    <t xml:space="preserve">Progreso</t>
  </si>
  <si>
    <t xml:space="preserve">🛟 Colchón de emergencia</t>
  </si>
  <si>
    <t xml:space="preserve">💶 100.000 € de patrimonio líquido</t>
  </si>
  <si>
    <t xml:space="preserve">💰 150.000 € de patrimonio líquido</t>
  </si>
  <si>
    <t xml:space="preserve">🏠 Vivienda comprada</t>
  </si>
  <si>
    <t xml:space="preserve">🔓 Libertad financiera 25 %</t>
  </si>
  <si>
    <t xml:space="preserve">💎 200.000 € de patrimonio líquido</t>
  </si>
  <si>
    <t xml:space="preserve">🔓 Libertad financiera 50 %</t>
  </si>
  <si>
    <t xml:space="preserve">🏖️ Que el dinero te dure hasta los 90</t>
  </si>
  <si>
    <t xml:space="preserve">🏅 TUS LOGROS DE AHORRO · medalla por % de ingresos ahorrado</t>
  </si>
  <si>
    <t xml:space="preserve">Ingresos</t>
  </si>
  <si>
    <t xml:space="preserve">Gastos</t>
  </si>
  <si>
    <t xml:space="preserve">Ahorro</t>
  </si>
  <si>
    <t xml:space="preserve">% ahorrado</t>
  </si>
  <si>
    <t xml:space="preserve">Medalla</t>
  </si>
  <si>
    <t xml:space="preserve">Meses con datos</t>
  </si>
  <si>
    <t xml:space="preserve">Oro ≥ 40 % · Plata ≥ 25 % · Bronce ≥ 10 %</t>
  </si>
  <si>
    <t xml:space="preserve">🧭 TUS DECISIONES · ¿qué pasa si…?</t>
  </si>
  <si>
    <t xml:space="preserve">DIFERENCIA</t>
  </si>
  <si>
    <t xml:space="preserve">Con tus inmuebles (netos de hipoteca)</t>
  </si>
  <si>
    <t xml:space="preserve">Libertad financiera</t>
  </si>
  <si>
    <t xml:space="preserve">📊 TU FUTURO EN GRÁFICOS</t>
  </si>
  <si>
    <t xml:space="preserve">Se rellena sola: saldos a fin de mes que trae el importador (B–D) e ingresos y gastos de MOVIMIENTOS. Inversión y plan de pensiones (E–F), a mano si algún día los tienes.</t>
  </si>
  <si>
    <t xml:space="preserve">La primera fila es el primer mes del que hay datos de las tres cuentas. Si descargas más histórico de todas, empieza antes.</t>
  </si>
  <si>
    <t xml:space="preserve">Mes</t>
  </si>
  <si>
    <t xml:space="preserve">CaixaBank</t>
  </si>
  <si>
    <t xml:space="preserve">Openbank</t>
  </si>
  <si>
    <t xml:space="preserve">ING</t>
  </si>
  <si>
    <t xml:space="preserve">Inversión</t>
  </si>
  <si>
    <t xml:space="preserve">Plan de pensiones</t>
  </si>
  <si>
    <t xml:space="preserve">Ingresos del mes</t>
  </si>
  <si>
    <t xml:space="preserve">Gastos del mes</t>
  </si>
  <si>
    <t xml:space="preserve">Ahorro del mes</t>
  </si>
  <si>
    <t xml:space="preserve">% de ahorro</t>
  </si>
  <si>
    <t xml:space="preserve">Patrimonio líquido</t>
  </si>
  <si>
    <t xml:space="preserve">Por revisar</t>
  </si>
  <si>
    <t xml:space="preserve">Mes completo</t>
  </si>
  <si>
    <t xml:space="preserve">Los trae el importador (menú Plan financiero). Tú solo cambias Categoría y escribes Nota; lo amarillo está por revisar.</t>
  </si>
  <si>
    <t xml:space="preserve">Fecha</t>
  </si>
  <si>
    <t xml:space="preserve">Cuenta</t>
  </si>
  <si>
    <t xml:space="preserve">Concepto</t>
  </si>
  <si>
    <t xml:space="preserve">Importe</t>
  </si>
  <si>
    <t xml:space="preserve">Saldo</t>
  </si>
  <si>
    <t xml:space="preserve">Categoría</t>
  </si>
  <si>
    <t xml:space="preserve">Tipo</t>
  </si>
  <si>
    <t xml:space="preserve">Grupo</t>
  </si>
  <si>
    <t xml:space="preserve">Nota</t>
  </si>
  <si>
    <t xml:space="preserve">Clave</t>
  </si>
  <si>
    <t xml:space="preserve">INTERESES CUENTA AHORRO</t>
  </si>
  <si>
    <t xml:space="preserve">Intereses</t>
  </si>
  <si>
    <t xml:space="preserve">ING|2026-09-30||34.98|56006.00#1</t>
  </si>
  <si>
    <t xml:space="preserve">NOMINA EMPRESA EJEMPLO SL</t>
  </si>
  <si>
    <t xml:space="preserve">Nómina</t>
  </si>
  <si>
    <t xml:space="preserve">CaixaBank|2026-09-28||2150.00|10501.16#1</t>
  </si>
  <si>
    <t xml:space="preserve">Openbank tarjeta</t>
  </si>
  <si>
    <t xml:space="preserve">FRUTERIA LA HUERTA</t>
  </si>
  <si>
    <t xml:space="preserve">Supermercado</t>
  </si>
  <si>
    <t xml:space="preserve">Openbank tarjeta|2026-09-27|20:00|-11.60|#1</t>
  </si>
  <si>
    <t xml:space="preserve">CAFETERIA CENTRAL</t>
  </si>
  <si>
    <t xml:space="preserve">Restaurantes y caprichos</t>
  </si>
  <si>
    <t xml:space="preserve">Openbank tarjeta|2026-09-27|11:07|-7.97|#1</t>
  </si>
  <si>
    <t xml:space="preserve">RESTAURANTE LA PLAZA</t>
  </si>
  <si>
    <t xml:space="preserve">Openbank tarjeta|2026-09-24|21:15|-37.23|#1</t>
  </si>
  <si>
    <t xml:space="preserve">TRANSPORTE PUBLICO RECARGA</t>
  </si>
  <si>
    <t xml:space="preserve">Transporte</t>
  </si>
  <si>
    <t xml:space="preserve">Openbank tarjeta|2026-09-24|16:31|-20.00|#1</t>
  </si>
  <si>
    <t xml:space="preserve">BIZUM CENA</t>
  </si>
  <si>
    <t xml:space="preserve">❓ Por revisar</t>
  </si>
  <si>
    <t xml:space="preserve">CaixaBank|2026-09-24||19.00|8351.16#1</t>
  </si>
  <si>
    <t xml:space="preserve">TIENDA ONLINE</t>
  </si>
  <si>
    <t xml:space="preserve">Compras online</t>
  </si>
  <si>
    <t xml:space="preserve">Openbank tarjeta|2026-09-23|19:07|-44.59|#1</t>
  </si>
  <si>
    <t xml:space="preserve">Openbank tarjeta|2026-09-23|12:45|-29.53|#1</t>
  </si>
  <si>
    <t xml:space="preserve">Openbank tarjeta|2026-09-22|11:15|-8.79|#1</t>
  </si>
  <si>
    <t xml:space="preserve">PELUQUERIA ESTILO</t>
  </si>
  <si>
    <t xml:space="preserve">Cuidado personal</t>
  </si>
  <si>
    <t xml:space="preserve">CaixaBank|2026-09-22||-22.00|8332.16#1</t>
  </si>
  <si>
    <t xml:space="preserve">Openbank tarjeta|2026-09-19|19:52|-19.81|#1</t>
  </si>
  <si>
    <t xml:space="preserve">SUPERMERCADO EL BARRIO</t>
  </si>
  <si>
    <t xml:space="preserve">Openbank tarjeta|2026-09-17|16:00|-36.94|#1</t>
  </si>
  <si>
    <t xml:space="preserve">GASOLINERA RUTA</t>
  </si>
  <si>
    <t xml:space="preserve">Openbank tarjeta|2026-09-16|11:45|-36.84|#1</t>
  </si>
  <si>
    <t xml:space="preserve">Openbank tarjeta|2026-09-16|09:15|-18.39|#1</t>
  </si>
  <si>
    <t xml:space="preserve">Openbank tarjeta|2026-09-15|14:07|-53.38|#1</t>
  </si>
  <si>
    <t xml:space="preserve">Openbank tarjeta|2026-09-11|16:00|-25.57|#1</t>
  </si>
  <si>
    <t xml:space="preserve">BIZUM COMIDA DOMINGO</t>
  </si>
  <si>
    <t xml:space="preserve">CaixaBank|2026-09-11||29.00|8354.16#1</t>
  </si>
  <si>
    <t xml:space="preserve">RECIBO STREAMFLIX</t>
  </si>
  <si>
    <t xml:space="preserve">Suscripciones</t>
  </si>
  <si>
    <t xml:space="preserve">CaixaBank|2026-09-09||-12.99|8325.16#1</t>
  </si>
  <si>
    <t xml:space="preserve">RECIBO LUZ HOGAR ENERGIA</t>
  </si>
  <si>
    <t xml:space="preserve">Luz y gas</t>
  </si>
  <si>
    <t xml:space="preserve">CaixaBank|2026-09-08||-38.08|8338.15#1</t>
  </si>
  <si>
    <t xml:space="preserve">FARMACIA SAN JOSE</t>
  </si>
  <si>
    <t xml:space="preserve">Salud y farmacia</t>
  </si>
  <si>
    <t xml:space="preserve">Openbank tarjeta|2026-09-07|09:15|-8.55|#1</t>
  </si>
  <si>
    <t xml:space="preserve">Openbank tarjeta|2026-09-06|21:52|-5.77|#1</t>
  </si>
  <si>
    <t xml:space="preserve">Openbank tarjeta|2026-09-06|21:22|-5.98|#1</t>
  </si>
  <si>
    <t xml:space="preserve">RECIBO MOVILCOM</t>
  </si>
  <si>
    <t xml:space="preserve">Móvil</t>
  </si>
  <si>
    <t xml:space="preserve">CaixaBank|2026-09-06||-14.95|8376.23#1</t>
  </si>
  <si>
    <t xml:space="preserve">RECIBO FIBRANET</t>
  </si>
  <si>
    <t xml:space="preserve">Internet y teléfono fijo</t>
  </si>
  <si>
    <t xml:space="preserve">CaixaBank|2026-09-05||-39.90|8391.18#1</t>
  </si>
  <si>
    <t xml:space="preserve">LIQUIDACION TARJETA CREDITO</t>
  </si>
  <si>
    <t xml:space="preserve">Pago de la tarjeta</t>
  </si>
  <si>
    <t xml:space="preserve">Openbank|2026-09-05||-417.87|1449.90#1</t>
  </si>
  <si>
    <t xml:space="preserve">CINE ESTRENOS</t>
  </si>
  <si>
    <t xml:space="preserve">Ocio y cultura</t>
  </si>
  <si>
    <t xml:space="preserve">Openbank tarjeta|2026-09-04|18:22|-10.55|#1</t>
  </si>
  <si>
    <t xml:space="preserve">Openbank tarjeta|2026-09-03|14:07|-5.25|#1</t>
  </si>
  <si>
    <t xml:space="preserve">TRANSFERENCIA CUENTA DE VIAJES</t>
  </si>
  <si>
    <t xml:space="preserve">Aportación a la cuenta de viajes</t>
  </si>
  <si>
    <t xml:space="preserve">CaixaBank|2026-09-03||-150.00|8431.08#1</t>
  </si>
  <si>
    <t xml:space="preserve">TRASPASO A CUENTA AHORRO ING</t>
  </si>
  <si>
    <t xml:space="preserve">Traspaso entre mis cuentas</t>
  </si>
  <si>
    <t xml:space="preserve">CaixaBank|2026-09-02||-300.00|9061.08#1</t>
  </si>
  <si>
    <t xml:space="preserve">TRASPASO A OPENBANK</t>
  </si>
  <si>
    <t xml:space="preserve">CaixaBank|2026-09-02||-480.00|8581.08#1</t>
  </si>
  <si>
    <t xml:space="preserve">TRASPASO DESDE CAIXABANK</t>
  </si>
  <si>
    <t xml:space="preserve">ING|2026-09-02||300.00|55971.02#1</t>
  </si>
  <si>
    <t xml:space="preserve">Openbank|2026-09-02||480.00|1867.77#1</t>
  </si>
  <si>
    <t xml:space="preserve">ALQUILER VIVIENDA 09/2026</t>
  </si>
  <si>
    <t xml:space="preserve">Alquiler</t>
  </si>
  <si>
    <t xml:space="preserve">CaixaBank|2026-09-01||-850.00|9361.08#1</t>
  </si>
  <si>
    <t xml:space="preserve">ING|2026-08-31||34.77|55671.02#1</t>
  </si>
  <si>
    <t xml:space="preserve">Openbank tarjeta|2026-08-28|16:07|-15.37|#1</t>
  </si>
  <si>
    <t xml:space="preserve">CaixaBank|2026-08-28||2150.00|10211.08#1</t>
  </si>
  <si>
    <t xml:space="preserve">Openbank tarjeta|2026-08-27|17:00|-50.77|#1</t>
  </si>
  <si>
    <t xml:space="preserve">Openbank tarjeta|2026-08-27|13:45|-8.07|#1</t>
  </si>
  <si>
    <t xml:space="preserve">Openbank tarjeta|2026-08-26|21:07|-40.99|#1</t>
  </si>
  <si>
    <t xml:space="preserve">Openbank tarjeta|2026-08-26|20:52|-8.10|#1</t>
  </si>
  <si>
    <t xml:space="preserve">Openbank tarjeta|2026-08-26|12:52|-27.07|#1</t>
  </si>
  <si>
    <t xml:space="preserve">Openbank tarjeta|2026-08-26|08:15|-20.00|#1</t>
  </si>
  <si>
    <t xml:space="preserve">BIZUM COMPRA</t>
  </si>
  <si>
    <t xml:space="preserve">Ajustes de gastos compartidos (comida)</t>
  </si>
  <si>
    <t xml:space="preserve">CaixaBank|2026-08-24||23.00|8061.08#1</t>
  </si>
  <si>
    <t xml:space="preserve">Openbank tarjeta|2026-08-23|16:45|-5.68|#1</t>
  </si>
  <si>
    <t xml:space="preserve">Openbank tarjeta|2026-08-23|10:45|-9.48|#1</t>
  </si>
  <si>
    <t xml:space="preserve">Openbank tarjeta|2026-08-17|14:45|-45.07|#1</t>
  </si>
  <si>
    <t xml:space="preserve">Openbank tarjeta|2026-08-15|14:31|-11.37|#1</t>
  </si>
  <si>
    <t xml:space="preserve">Openbank tarjeta|2026-08-13|19:31|-5.96|#1</t>
  </si>
  <si>
    <t xml:space="preserve">Openbank tarjeta|2026-08-12|10:07|-18.14|#1</t>
  </si>
  <si>
    <t xml:space="preserve">RECIBO AGUAS MUNICIPALES</t>
  </si>
  <si>
    <t xml:space="preserve">Agua</t>
  </si>
  <si>
    <t xml:space="preserve">CaixaBank|2026-08-12||-37.55|8038.08#1</t>
  </si>
  <si>
    <t xml:space="preserve">CaixaBank|2026-08-11||27.00|8075.63#1</t>
  </si>
  <si>
    <t xml:space="preserve">CaixaBank|2026-08-09||-12.99|8048.63#1</t>
  </si>
  <si>
    <t xml:space="preserve">CaixaBank|2026-08-08||-77.32|8061.62#1</t>
  </si>
  <si>
    <t xml:space="preserve">Openbank tarjeta|2026-08-07|16:45|-3.49|#1</t>
  </si>
  <si>
    <t xml:space="preserve">Openbank tarjeta|2026-08-06|16:52|-22.06|#1</t>
  </si>
  <si>
    <t xml:space="preserve">CaixaBank|2026-08-06||-14.95|8138.94#1</t>
  </si>
  <si>
    <t xml:space="preserve">Openbank tarjeta|2026-08-05|16:45|-11.89|#1</t>
  </si>
  <si>
    <t xml:space="preserve">Openbank tarjeta|2026-08-05|10:52|-48.23|#1</t>
  </si>
  <si>
    <t xml:space="preserve">CaixaBank|2026-08-05||-39.90|8153.89#1</t>
  </si>
  <si>
    <t xml:space="preserve">Openbank|2026-08-05||-489.08|1387.77#1</t>
  </si>
  <si>
    <t xml:space="preserve">Openbank tarjeta|2026-08-04|11:00|-66.13|#1</t>
  </si>
  <si>
    <t xml:space="preserve">CaixaBank|2026-08-03||-150.00|8193.79#1</t>
  </si>
  <si>
    <t xml:space="preserve">CaixaBank|2026-08-02||-300.00|8823.79#1</t>
  </si>
  <si>
    <t xml:space="preserve">CaixaBank|2026-08-02||-480.00|8343.79#1</t>
  </si>
  <si>
    <t xml:space="preserve">ING|2026-08-02||300.00|55636.25#1</t>
  </si>
  <si>
    <t xml:space="preserve">Openbank|2026-08-02||480.00|1876.85#1</t>
  </si>
  <si>
    <t xml:space="preserve">ALQUILER VIVIENDA 08/2026</t>
  </si>
  <si>
    <t xml:space="preserve">CaixaBank|2026-08-01||-850.00|9123.79#1</t>
  </si>
  <si>
    <t xml:space="preserve">ING|2026-07-31||34.56|55336.25#1</t>
  </si>
  <si>
    <t xml:space="preserve">CaixaBank|2026-07-28||2150.00|9973.79#1</t>
  </si>
  <si>
    <t xml:space="preserve">Openbank tarjeta|2026-07-24|18:31|-46.66|#1</t>
  </si>
  <si>
    <t xml:space="preserve">Openbank tarjeta|2026-07-24|11:31|-43.00|#1</t>
  </si>
  <si>
    <t xml:space="preserve">CaixaBank|2026-07-24||14.00|7823.79#1</t>
  </si>
  <si>
    <t xml:space="preserve">Openbank tarjeta|2026-07-22|21:15|-13.79|#1</t>
  </si>
  <si>
    <t xml:space="preserve">Openbank tarjeta|2026-07-22|13:15|-6.81|#1</t>
  </si>
  <si>
    <t xml:space="preserve">Openbank tarjeta|2026-07-22|12:00|-26.88|#1</t>
  </si>
  <si>
    <t xml:space="preserve">CaixaBank|2026-07-22||-22.00|7809.79#1</t>
  </si>
  <si>
    <t xml:space="preserve">Openbank tarjeta|2026-07-19|16:45|-13.84|#1</t>
  </si>
  <si>
    <t xml:space="preserve">Openbank tarjeta|2026-07-19|09:00|-15.83|#1</t>
  </si>
  <si>
    <t xml:space="preserve">Openbank tarjeta|2026-07-18|16:52|-54.01|#1</t>
  </si>
  <si>
    <t xml:space="preserve">Openbank tarjeta|2026-07-18|11:22|-7.27|#1</t>
  </si>
  <si>
    <t xml:space="preserve">DEVOLUCION AEAT IRPF</t>
  </si>
  <si>
    <t xml:space="preserve">Devolución de Hacienda</t>
  </si>
  <si>
    <t xml:space="preserve">CaixaBank|2026-07-18||412.36|7831.79#1</t>
  </si>
  <si>
    <t xml:space="preserve">Openbank tarjeta|2026-07-16|15:52|-26.80|#1</t>
  </si>
  <si>
    <t xml:space="preserve">Openbank tarjeta|2026-07-12|20:22|-31.14|#1</t>
  </si>
  <si>
    <t xml:space="preserve">Openbank tarjeta|2026-07-11|12:22|-6.44|#1</t>
  </si>
  <si>
    <t xml:space="preserve">Openbank tarjeta|2026-07-11|08:45|-7.95|#1</t>
  </si>
  <si>
    <t xml:space="preserve">CaixaBank|2026-07-11||28.00|7419.43#1</t>
  </si>
  <si>
    <t xml:space="preserve">Openbank tarjeta|2026-07-09|08:07|-8.60|#1</t>
  </si>
  <si>
    <t xml:space="preserve">CaixaBank|2026-07-09||-12.99|7391.43#1</t>
  </si>
  <si>
    <t xml:space="preserve">Openbank tarjeta|2026-07-08|11:31|-67.04|#1</t>
  </si>
  <si>
    <t xml:space="preserve">CaixaBank|2026-07-08||-42.64|7404.42#1</t>
  </si>
  <si>
    <t xml:space="preserve">Openbank tarjeta|2026-07-07|16:52|-20.00|#1</t>
  </si>
  <si>
    <t xml:space="preserve">CaixaBank|2026-07-06||-14.95|7447.06#1</t>
  </si>
  <si>
    <t xml:space="preserve">CaixaBank|2026-07-05||-39.90|7462.01#1</t>
  </si>
  <si>
    <t xml:space="preserve">Openbank|2026-07-05||-444.06|1396.85#1</t>
  </si>
  <si>
    <t xml:space="preserve">CaixaBank|2026-07-03||-150.00|7501.91#1</t>
  </si>
  <si>
    <t xml:space="preserve">Openbank tarjeta|2026-07-02|21:00|-23.93|#1</t>
  </si>
  <si>
    <t xml:space="preserve">CaixaBank|2026-07-02||-300.00|8131.91#1</t>
  </si>
  <si>
    <t xml:space="preserve">CaixaBank|2026-07-02||-480.00|7651.91#1</t>
  </si>
  <si>
    <t xml:space="preserve">ING|2026-07-02||300.00|55301.69#1</t>
  </si>
  <si>
    <t xml:space="preserve">Openbank|2026-07-02||480.00|1840.91#1</t>
  </si>
  <si>
    <t xml:space="preserve">Openbank tarjeta|2026-07-01|10:15|-69.09|#1</t>
  </si>
  <si>
    <t xml:space="preserve">ALQUILER VIVIENDA 07/2026</t>
  </si>
  <si>
    <t xml:space="preserve">CaixaBank|2026-07-01||-850.00|8431.91#1</t>
  </si>
  <si>
    <t xml:space="preserve">ING|2026-06-30||34.35|55001.69#1</t>
  </si>
  <si>
    <t xml:space="preserve">Openbank tarjeta|2026-06-28|21:45|-6.61|#1</t>
  </si>
  <si>
    <t xml:space="preserve">CaixaBank|2026-06-28||2150.00|9281.91#1</t>
  </si>
  <si>
    <t xml:space="preserve">Openbank tarjeta|2026-06-26|15:15|-16.47|#1</t>
  </si>
  <si>
    <t xml:space="preserve">Openbank tarjeta|2026-06-25|11:22|-6.05|#1</t>
  </si>
  <si>
    <t xml:space="preserve">Openbank tarjeta|2026-06-24|12:31|-28.23|#1</t>
  </si>
  <si>
    <t xml:space="preserve">CaixaBank|2026-06-24||35.00|7131.91#1</t>
  </si>
  <si>
    <t xml:space="preserve">Openbank tarjeta|2026-06-23|14:15|-4.64|#1</t>
  </si>
  <si>
    <t xml:space="preserve">Openbank tarjeta|2026-06-23|13:31|-20.00|#1</t>
  </si>
  <si>
    <t xml:space="preserve">Openbank tarjeta|2026-06-21|21:52|-47.23|#1</t>
  </si>
  <si>
    <t xml:space="preserve">Openbank tarjeta|2026-06-21|08:31|-5.11|#1</t>
  </si>
  <si>
    <t xml:space="preserve">NOMINA PAGA EXTRA EMPRESA EJEMPLO SL</t>
  </si>
  <si>
    <t xml:space="preserve">CaixaBank|2026-06-20||2150.00|7096.91#1</t>
  </si>
  <si>
    <t xml:space="preserve">Openbank tarjeta|2026-06-19|10:22|-52.16|#1</t>
  </si>
  <si>
    <t xml:space="preserve">Openbank tarjeta|2026-06-12|08:22|-45.34|#1</t>
  </si>
  <si>
    <t xml:space="preserve">CaixaBank|2026-06-12||-35.69|4946.91#1</t>
  </si>
  <si>
    <t xml:space="preserve">Openbank tarjeta|2026-06-11|16:52|-21.61|#1</t>
  </si>
  <si>
    <t xml:space="preserve">CaixaBank|2026-06-11||18.00|4982.60#1</t>
  </si>
  <si>
    <t xml:space="preserve">Openbank tarjeta|2026-06-09|15:15|-61.74|#1</t>
  </si>
  <si>
    <t xml:space="preserve">Openbank tarjeta|2026-06-09|09:15|-35.11|#1</t>
  </si>
  <si>
    <t xml:space="preserve">CaixaBank|2026-06-09||-12.99|4964.60#1</t>
  </si>
  <si>
    <t xml:space="preserve">CaixaBank|2026-06-08||-50.74|4977.59#1</t>
  </si>
  <si>
    <t xml:space="preserve">CaixaBank|2026-06-06||-14.95|5028.33#1</t>
  </si>
  <si>
    <t xml:space="preserve">Openbank tarjeta|2026-06-05|12:07|-46.35|#1</t>
  </si>
  <si>
    <t xml:space="preserve">CaixaBank|2026-06-05||-39.90|5043.28#1</t>
  </si>
  <si>
    <t xml:space="preserve">Openbank|2026-06-05||-406.34|1360.91#1</t>
  </si>
  <si>
    <t xml:space="preserve">Openbank tarjeta|2026-06-04|17:22|-11.75|#1</t>
  </si>
  <si>
    <t xml:space="preserve">Openbank tarjeta|2026-06-04|15:45|-6.91|#1</t>
  </si>
  <si>
    <t xml:space="preserve">Openbank tarjeta|2026-06-04|12:15|-14.95|#1</t>
  </si>
  <si>
    <t xml:space="preserve">CaixaBank|2026-06-03||-150.00|5083.18#1</t>
  </si>
  <si>
    <t xml:space="preserve">CaixaBank|2026-06-02||-300.00|5713.18#1</t>
  </si>
  <si>
    <t xml:space="preserve">CaixaBank|2026-06-02||-480.00|5233.18#1</t>
  </si>
  <si>
    <t xml:space="preserve">ING|2026-06-02||300.00|54967.34#1</t>
  </si>
  <si>
    <t xml:space="preserve">Openbank|2026-06-02||480.00|1767.25#1</t>
  </si>
  <si>
    <t xml:space="preserve">Openbank tarjeta|2026-06-01|11:45|-13.80|#1</t>
  </si>
  <si>
    <t xml:space="preserve">ALQUILER VIVIENDA 06/2026</t>
  </si>
  <si>
    <t xml:space="preserve">CaixaBank|2026-06-01||-850.00|6013.18#1</t>
  </si>
  <si>
    <t xml:space="preserve">ING|2026-05-31||34.15|54667.34#1</t>
  </si>
  <si>
    <t xml:space="preserve">CaixaBank|2026-05-28||2150.00|6863.18#1</t>
  </si>
  <si>
    <t xml:space="preserve">Openbank tarjeta|2026-05-26|12:15|-39.81|#1</t>
  </si>
  <si>
    <t xml:space="preserve">Openbank tarjeta|2026-05-25|10:15|-20.00|#1</t>
  </si>
  <si>
    <t xml:space="preserve">Openbank tarjeta|2026-05-24|15:22|-20.46|#1</t>
  </si>
  <si>
    <t xml:space="preserve">CaixaBank|2026-05-24||-35.00|4713.18#1</t>
  </si>
  <si>
    <t xml:space="preserve">Openbank tarjeta|2026-05-22|18:52|-63.88|#1</t>
  </si>
  <si>
    <t xml:space="preserve">CaixaBank|2026-05-22||-22.00|4748.18#1</t>
  </si>
  <si>
    <t xml:space="preserve">Openbank tarjeta|2026-05-21|15:22|-3.26|#1</t>
  </si>
  <si>
    <t xml:space="preserve">Openbank tarjeta|2026-05-20|09:15|-11.47|#1</t>
  </si>
  <si>
    <t xml:space="preserve">Openbank tarjeta|2026-05-17|13:31|-19.53|#1</t>
  </si>
  <si>
    <t xml:space="preserve">Openbank tarjeta|2026-05-16|21:45|-3.20|#1</t>
  </si>
  <si>
    <t xml:space="preserve">Openbank tarjeta|2026-05-14|13:15|-45.13|#1</t>
  </si>
  <si>
    <t xml:space="preserve">Openbank tarjeta|2026-05-12|20:00|-24.97|#1</t>
  </si>
  <si>
    <t xml:space="preserve">Openbank tarjeta|2026-05-12|15:31|-6.94|#1</t>
  </si>
  <si>
    <t xml:space="preserve">Openbank tarjeta|2026-05-11|20:22|-20.48|#1</t>
  </si>
  <si>
    <t xml:space="preserve">CaixaBank|2026-05-11||25.00|4770.18#1</t>
  </si>
  <si>
    <t xml:space="preserve">Openbank tarjeta|2026-05-10|10:31|-11.03|#1</t>
  </si>
  <si>
    <t xml:space="preserve">CaixaBank|2026-05-09||-12.99|4745.18#1</t>
  </si>
  <si>
    <t xml:space="preserve">Openbank tarjeta|2026-05-08|13:52|-16.79|#1</t>
  </si>
  <si>
    <t xml:space="preserve">CaixaBank|2026-05-08||-47.60|4758.17#1</t>
  </si>
  <si>
    <t xml:space="preserve">CaixaBank|2026-05-06||-14.95|4805.77#1</t>
  </si>
  <si>
    <t xml:space="preserve">Openbank tarjeta|2026-05-05|09:31|-26.52|#1</t>
  </si>
  <si>
    <t xml:space="preserve">CaixaBank|2026-05-05||-39.90|4820.72#1</t>
  </si>
  <si>
    <t xml:space="preserve">Openbank|2026-05-05||-428.97|1287.25#1</t>
  </si>
  <si>
    <t xml:space="preserve">Openbank tarjeta|2026-05-04|11:52|-6.11|#1</t>
  </si>
  <si>
    <t xml:space="preserve">Openbank tarjeta|2026-05-03|17:15|-4.98|#1</t>
  </si>
  <si>
    <t xml:space="preserve">CaixaBank|2026-05-03||-150.00|4860.62#1</t>
  </si>
  <si>
    <t xml:space="preserve">CaixaBank|2026-05-02||-300.00|5490.62#1</t>
  </si>
  <si>
    <t xml:space="preserve">CaixaBank|2026-05-02||-480.00|5010.62#1</t>
  </si>
  <si>
    <t xml:space="preserve">ING|2026-05-02||300.00|54633.19#1</t>
  </si>
  <si>
    <t xml:space="preserve">Openbank|2026-05-02||480.00|1716.22#1</t>
  </si>
  <si>
    <t xml:space="preserve">Openbank tarjeta|2026-05-01|09:15|-61.78|#1</t>
  </si>
  <si>
    <t xml:space="preserve">ALQUILER VIVIENDA 05/2026</t>
  </si>
  <si>
    <t xml:space="preserve">CaixaBank|2026-05-01||-850.00|5790.62#1</t>
  </si>
  <si>
    <t xml:space="preserve">ING|2026-04-30||33.94|54333.19#1</t>
  </si>
  <si>
    <t xml:space="preserve">CaixaBank|2026-04-28||2150.00|6640.62#1</t>
  </si>
  <si>
    <t xml:space="preserve">Openbank tarjeta|2026-04-27|21:07|-32.34|#1</t>
  </si>
  <si>
    <t xml:space="preserve">Openbank tarjeta|2026-04-27|16:45|-21.38|#1</t>
  </si>
  <si>
    <t xml:space="preserve">CaixaBank|2026-04-24||-29.00|4490.62#1</t>
  </si>
  <si>
    <t xml:space="preserve">Openbank tarjeta|2026-04-23|17:00|-6.29|#1</t>
  </si>
  <si>
    <t xml:space="preserve">Openbank tarjeta|2026-04-21|16:00|-45.82|#1</t>
  </si>
  <si>
    <t xml:space="preserve">Openbank tarjeta|2026-04-19|11:07|-20.57|#1</t>
  </si>
  <si>
    <t xml:space="preserve">Openbank tarjeta|2026-04-19|10:45|-34.23|#1</t>
  </si>
  <si>
    <t xml:space="preserve">Openbank tarjeta|2026-04-18|20:45|-60.19|#1</t>
  </si>
  <si>
    <t xml:space="preserve">Openbank tarjeta|2026-04-18|08:45|-40.23|#1</t>
  </si>
  <si>
    <t xml:space="preserve">Openbank tarjeta|2026-04-14|18:07|-7.67|#1</t>
  </si>
  <si>
    <t xml:space="preserve">Openbank tarjeta|2026-04-14|08:15|-10.15|#1</t>
  </si>
  <si>
    <t xml:space="preserve">MODA CENTRO</t>
  </si>
  <si>
    <t xml:space="preserve">Ropa y calzado</t>
  </si>
  <si>
    <t xml:space="preserve">CaixaBank|2026-04-14||-78.06|4519.62#1</t>
  </si>
  <si>
    <t xml:space="preserve">Openbank tarjeta|2026-04-13|16:52|-35.70|#1</t>
  </si>
  <si>
    <t xml:space="preserve">Openbank tarjeta|2026-04-12|18:22|-36.67|#1</t>
  </si>
  <si>
    <t xml:space="preserve">CaixaBank|2026-04-12||-34.00|4597.68#1</t>
  </si>
  <si>
    <t xml:space="preserve">CaixaBank|2026-04-11||34.00|4631.68#1</t>
  </si>
  <si>
    <t xml:space="preserve">Openbank tarjeta|2026-04-10|12:15|-26.17|#1</t>
  </si>
  <si>
    <t xml:space="preserve">Openbank tarjeta|2026-04-09|19:00|-3.40|#1</t>
  </si>
  <si>
    <t xml:space="preserve">CaixaBank|2026-04-09||-12.99|4597.68#1</t>
  </si>
  <si>
    <t xml:space="preserve">CaixaBank|2026-04-08||-36.17|4610.67#1</t>
  </si>
  <si>
    <t xml:space="preserve">CaixaBank|2026-04-06||-14.95|4646.84#1</t>
  </si>
  <si>
    <t xml:space="preserve">Openbank tarjeta|2026-04-05|11:45|-17.75|#1</t>
  </si>
  <si>
    <t xml:space="preserve">CaixaBank|2026-04-05||-39.90|4661.79#1</t>
  </si>
  <si>
    <t xml:space="preserve">Openbank|2026-04-05||-398.04|1236.22#1</t>
  </si>
  <si>
    <t xml:space="preserve">Openbank tarjeta|2026-04-03|16:45|-4.44|#1</t>
  </si>
  <si>
    <t xml:space="preserve">Openbank tarjeta|2026-04-03|14:15|-20.00|#1</t>
  </si>
  <si>
    <t xml:space="preserve">CaixaBank|2026-04-03||-150.00|4701.69#1</t>
  </si>
  <si>
    <t xml:space="preserve">CaixaBank|2026-04-02||-300.00|5331.69#1</t>
  </si>
  <si>
    <t xml:space="preserve">CaixaBank|2026-04-02||-480.00|4851.69#1</t>
  </si>
  <si>
    <t xml:space="preserve">ING|2026-04-02||300.00|54299.25#1</t>
  </si>
  <si>
    <t xml:space="preserve">Openbank|2026-04-02||480.00|1634.26#1</t>
  </si>
  <si>
    <t xml:space="preserve">Openbank tarjeta|2026-04-01|21:52|-5.97|#1</t>
  </si>
  <si>
    <t xml:space="preserve">ALQUILER VIVIENDA 04/2026</t>
  </si>
  <si>
    <t xml:space="preserve">CaixaBank|2026-04-01||-850.00|5631.69#1</t>
  </si>
  <si>
    <t xml:space="preserve">ING|2026-03-31||33.73|53999.25#1</t>
  </si>
  <si>
    <t xml:space="preserve">Openbank tarjeta|2026-03-28|16:52|-54.23|#1</t>
  </si>
  <si>
    <t xml:space="preserve">CaixaBank|2026-03-28||2150.00|6481.69#1</t>
  </si>
  <si>
    <t xml:space="preserve">Openbank tarjeta|2026-03-27|08:45|-20.00|#1</t>
  </si>
  <si>
    <t xml:space="preserve">Openbank tarjeta|2026-03-24|18:52|-27.24|#1</t>
  </si>
  <si>
    <t xml:space="preserve">CaixaBank|2026-03-24||36.00|4331.69#1</t>
  </si>
  <si>
    <t xml:space="preserve">Openbank tarjeta|2026-03-22|12:52|-6.11|#1</t>
  </si>
  <si>
    <t xml:space="preserve">Openbank tarjeta|2026-03-22|10:07|-3.93|#1</t>
  </si>
  <si>
    <t xml:space="preserve">CaixaBank|2026-03-22||-22.00|4295.69#1</t>
  </si>
  <si>
    <t xml:space="preserve">Openbank tarjeta|2026-03-21|12:00|-21.63|#1</t>
  </si>
  <si>
    <t xml:space="preserve">Openbank tarjeta|2026-03-18|19:31|-2.68|#1</t>
  </si>
  <si>
    <t xml:space="preserve">Openbank tarjeta|2026-03-18|12:15|-39.24|#1</t>
  </si>
  <si>
    <t xml:space="preserve">RECIBO SEGURO HOGAR INQUILINO</t>
  </si>
  <si>
    <t xml:space="preserve">Seguro del hogar</t>
  </si>
  <si>
    <t xml:space="preserve">CaixaBank|2026-03-15||-148.00|4317.69#1</t>
  </si>
  <si>
    <t xml:space="preserve">Openbank tarjeta|2026-03-14|13:22|-16.09|#1</t>
  </si>
  <si>
    <t xml:space="preserve">Openbank tarjeta|2026-03-14|08:31|-34.58|#1</t>
  </si>
  <si>
    <t xml:space="preserve">Openbank tarjeta|2026-03-13|20:22|-4.95|#1</t>
  </si>
  <si>
    <t xml:space="preserve">Openbank tarjeta|2026-03-11|08:45|-28.27|#1</t>
  </si>
  <si>
    <t xml:space="preserve">CaixaBank|2026-03-11||35.00|4465.69#1</t>
  </si>
  <si>
    <t xml:space="preserve">Openbank tarjeta|2026-03-09|16:52|-13.50|#1</t>
  </si>
  <si>
    <t xml:space="preserve">CaixaBank|2026-03-09||-12.99|4430.69#1</t>
  </si>
  <si>
    <t xml:space="preserve">CaixaBank|2026-03-08||-40.63|4443.68#1</t>
  </si>
  <si>
    <t xml:space="preserve">CaixaBank|2026-03-06||-14.95|4484.31#1</t>
  </si>
  <si>
    <t xml:space="preserve">Openbank tarjeta|2026-03-05|17:00|-55.99|#1</t>
  </si>
  <si>
    <t xml:space="preserve">Openbank tarjeta|2026-03-05|08:15|-3.98|#1</t>
  </si>
  <si>
    <t xml:space="preserve">CaixaBank|2026-03-05||-39.90|4499.26#1</t>
  </si>
  <si>
    <t xml:space="preserve">Openbank|2026-03-05||-434.82|1154.26#1</t>
  </si>
  <si>
    <t xml:space="preserve">Openbank tarjeta|2026-03-04|09:00|-26.43|#1</t>
  </si>
  <si>
    <t xml:space="preserve">CaixaBank|2026-03-03||-150.00|4539.16#1</t>
  </si>
  <si>
    <t xml:space="preserve">Openbank tarjeta|2026-03-02|13:31|-24.54|#1</t>
  </si>
  <si>
    <t xml:space="preserve">CaixaBank|2026-03-02||-300.00|5169.16#1</t>
  </si>
  <si>
    <t xml:space="preserve">CaixaBank|2026-03-02||-480.00|4689.16#1</t>
  </si>
  <si>
    <t xml:space="preserve">ING|2026-03-02||300.00|53965.52#1</t>
  </si>
  <si>
    <t xml:space="preserve">Openbank|2026-03-02||480.00|1589.08#1</t>
  </si>
  <si>
    <t xml:space="preserve">Openbank tarjeta|2026-03-01|11:22|-14.65|#1</t>
  </si>
  <si>
    <t xml:space="preserve">ALQUILER VIVIENDA 03/2026</t>
  </si>
  <si>
    <t xml:space="preserve">CaixaBank|2026-03-01||-850.00|5469.16#1</t>
  </si>
  <si>
    <t xml:space="preserve">Openbank tarjeta|2026-02-28|20:15|-8.34|#1</t>
  </si>
  <si>
    <t xml:space="preserve">CaixaBank|2026-02-28||2150.00|6319.16#1</t>
  </si>
  <si>
    <t xml:space="preserve">ING|2026-02-28||33.52|53665.52#1</t>
  </si>
  <si>
    <t xml:space="preserve">Openbank tarjeta|2026-02-26|18:00|-27.65|#1</t>
  </si>
  <si>
    <t xml:space="preserve">CaixaBank|2026-02-24||33.00|4169.16#1</t>
  </si>
  <si>
    <t xml:space="preserve">Openbank tarjeta|2026-02-22|21:15|-6.15|#1</t>
  </si>
  <si>
    <t xml:space="preserve">Openbank tarjeta|2026-02-22|13:45|-21.14|#1</t>
  </si>
  <si>
    <t xml:space="preserve">Openbank tarjeta|2026-02-21|08:22|-47.71|#1</t>
  </si>
  <si>
    <t xml:space="preserve">Openbank tarjeta|2026-02-18|20:15|-24.90|#1</t>
  </si>
  <si>
    <t xml:space="preserve">Openbank tarjeta|2026-02-17|17:52|-12.39|#1</t>
  </si>
  <si>
    <t xml:space="preserve">Openbank tarjeta|2026-02-14|09:45|-54.58|#1</t>
  </si>
  <si>
    <t xml:space="preserve">Openbank tarjeta|2026-02-14|08:00|-8.78|#1</t>
  </si>
  <si>
    <t xml:space="preserve">Openbank tarjeta|2026-02-13|21:15|-26.01|#1</t>
  </si>
  <si>
    <t xml:space="preserve">Openbank tarjeta|2026-02-12|18:15|-24.95|#1</t>
  </si>
  <si>
    <t xml:space="preserve">CaixaBank|2026-02-12||-37.59|4136.16#1</t>
  </si>
  <si>
    <t xml:space="preserve">Openbank tarjeta|2026-02-11|17:45|-50.07|#1</t>
  </si>
  <si>
    <t xml:space="preserve">Openbank tarjeta|2026-02-11|17:22|-20.00|#1</t>
  </si>
  <si>
    <t xml:space="preserve">CaixaBank|2026-02-11||-30.00|4173.75#1</t>
  </si>
  <si>
    <t xml:space="preserve">Openbank tarjeta|2026-02-09|08:22|-4.16|#1</t>
  </si>
  <si>
    <t xml:space="preserve">CaixaBank|2026-02-09||-12.99|4203.75#1</t>
  </si>
  <si>
    <t xml:space="preserve">Openbank tarjeta|2026-02-08|09:00|-2.65|#1</t>
  </si>
  <si>
    <t xml:space="preserve">CaixaBank|2026-02-08||-49.80|4216.74#1</t>
  </si>
  <si>
    <t xml:space="preserve">CaixaBank|2026-02-06||-14.95|4266.54#1</t>
  </si>
  <si>
    <t xml:space="preserve">CaixaBank|2026-02-05||-39.90|4281.49#1</t>
  </si>
  <si>
    <t xml:space="preserve">Openbank|2026-02-05||-514.60|1109.08#1</t>
  </si>
  <si>
    <t xml:space="preserve">Openbank tarjeta|2026-02-04|10:00|-67.65|#1</t>
  </si>
  <si>
    <t xml:space="preserve">Openbank tarjeta|2026-02-03|13:07|-12.07|#1</t>
  </si>
  <si>
    <t xml:space="preserve">CaixaBank|2026-02-03||-150.00|4321.39#1</t>
  </si>
  <si>
    <t xml:space="preserve">Openbank tarjeta|2026-02-02|14:00|-15.62|#1</t>
  </si>
  <si>
    <t xml:space="preserve">CaixaBank|2026-02-02||-300.00|4951.39#1</t>
  </si>
  <si>
    <t xml:space="preserve">CaixaBank|2026-02-02||-480.00|4471.39#1</t>
  </si>
  <si>
    <t xml:space="preserve">ING|2026-02-02||300.00|53632.00#1</t>
  </si>
  <si>
    <t xml:space="preserve">Openbank|2026-02-02||480.00|1623.68#1</t>
  </si>
  <si>
    <t xml:space="preserve">ALQUILER VIVIENDA 02/2026</t>
  </si>
  <si>
    <t xml:space="preserve">CaixaBank|2026-02-01||-850.00|5251.39#1</t>
  </si>
  <si>
    <t xml:space="preserve">ING|2026-01-31||33.31|53332.00#1</t>
  </si>
  <si>
    <t xml:space="preserve">Openbank tarjeta|2026-01-28|12:07|-3.01|#1</t>
  </si>
  <si>
    <t xml:space="preserve">Openbank tarjeta|2026-01-28|11:22|-57.24|#1</t>
  </si>
  <si>
    <t xml:space="preserve">CaixaBank|2026-01-28||2150.00|6101.39#1</t>
  </si>
  <si>
    <t xml:space="preserve">Openbank tarjeta|2026-01-27|18:07|-24.69|#1</t>
  </si>
  <si>
    <t xml:space="preserve">Openbank tarjeta|2026-01-25|12:22|-7.80|#1</t>
  </si>
  <si>
    <t xml:space="preserve">CaixaBank|2026-01-24||-18.00|3951.39#1</t>
  </si>
  <si>
    <t xml:space="preserve">Openbank tarjeta|2026-01-23|08:07|-53.29|#1</t>
  </si>
  <si>
    <t xml:space="preserve">CaixaBank|2026-01-22||-22.00|3969.39#1</t>
  </si>
  <si>
    <t xml:space="preserve">Openbank tarjeta|2026-01-21|20:31|-15.42|#1</t>
  </si>
  <si>
    <t xml:space="preserve">Openbank tarjeta|2026-01-21|16:52|-41.61|#1</t>
  </si>
  <si>
    <t xml:space="preserve">Openbank tarjeta|2026-01-21|08:45|-65.92|#1</t>
  </si>
  <si>
    <t xml:space="preserve">Openbank tarjeta|2026-01-18|20:31|-15.18|#1</t>
  </si>
  <si>
    <t xml:space="preserve">Openbank tarjeta|2026-01-18|08:22|-66.41|#1</t>
  </si>
  <si>
    <t xml:space="preserve">Openbank tarjeta|2026-01-13|16:22|-4.27|#1</t>
  </si>
  <si>
    <t xml:space="preserve">Openbank tarjeta|2026-01-12|15:22|-3.64|#1</t>
  </si>
  <si>
    <t xml:space="preserve">CaixaBank|2026-01-11||-29.00|3991.39#1</t>
  </si>
  <si>
    <t xml:space="preserve">Openbank tarjeta|2026-01-09|21:07|-51.38|#1</t>
  </si>
  <si>
    <t xml:space="preserve">CaixaBank|2026-01-09||-12.99|4020.39#1</t>
  </si>
  <si>
    <t xml:space="preserve">Openbank tarjeta|2026-01-08|09:22|-20.00|#1</t>
  </si>
  <si>
    <t xml:space="preserve">CaixaBank|2026-01-08||-63.54|4033.38#1</t>
  </si>
  <si>
    <t xml:space="preserve">Openbank tarjeta|2026-01-06|15:22|-4.62|#1</t>
  </si>
  <si>
    <t xml:space="preserve">CaixaBank|2026-01-06||-14.95|4096.92#1</t>
  </si>
  <si>
    <t xml:space="preserve">Openbank tarjeta|2026-01-05|21:07|-10.25|#1</t>
  </si>
  <si>
    <t xml:space="preserve">CaixaBank|2026-01-05||-39.90|4111.87#1</t>
  </si>
  <si>
    <t xml:space="preserve">Openbank|2026-01-05||-440.52|1143.68#1</t>
  </si>
  <si>
    <t xml:space="preserve">Openbank tarjeta|2026-01-04|16:52|-40.98|#1</t>
  </si>
  <si>
    <t xml:space="preserve">CaixaBank|2026-01-03||-150.00|4151.77#1</t>
  </si>
  <si>
    <t xml:space="preserve">CaixaBank|2026-01-02||-300.00|4781.77#1</t>
  </si>
  <si>
    <t xml:space="preserve">CaixaBank|2026-01-02||-480.00|4301.77#1</t>
  </si>
  <si>
    <t xml:space="preserve">ING|2026-01-02||300.00|53298.69#1</t>
  </si>
  <si>
    <t xml:space="preserve">Openbank|2026-01-02||480.00|1584.20#1</t>
  </si>
  <si>
    <t xml:space="preserve">Openbank tarjeta|2026-01-01|10:15|-28.89|#1</t>
  </si>
  <si>
    <t xml:space="preserve">ALQUILER VIVIENDA 01/2026</t>
  </si>
  <si>
    <t xml:space="preserve">CaixaBank|2026-01-01||-850.00|5081.77#1</t>
  </si>
  <si>
    <t xml:space="preserve">ING|2025-12-31||33.10|52998.69#1</t>
  </si>
  <si>
    <t xml:space="preserve">Openbank tarjeta|2025-12-28|19:07|-14.89|#1</t>
  </si>
  <si>
    <t xml:space="preserve">CaixaBank|2025-12-28||2150.00|5931.77#1</t>
  </si>
  <si>
    <t xml:space="preserve">Openbank tarjeta|2025-12-27|13:52|-34.49|#1</t>
  </si>
  <si>
    <t xml:space="preserve">Openbank tarjeta|2025-12-26|17:31|-20.20|#1</t>
  </si>
  <si>
    <t xml:space="preserve">Openbank tarjeta|2025-12-26|17:15|-7.59|#1</t>
  </si>
  <si>
    <t xml:space="preserve">Openbank tarjeta|2025-12-26|09:31|-28.34|#1</t>
  </si>
  <si>
    <t xml:space="preserve">Openbank tarjeta|2025-12-25|10:00|-51.04|#1</t>
  </si>
  <si>
    <t xml:space="preserve">CaixaBank|2025-12-24||-31.00|3781.77#1</t>
  </si>
  <si>
    <t xml:space="preserve">Openbank tarjeta|2025-12-22|13:00|-41.07|#1</t>
  </si>
  <si>
    <t xml:space="preserve">Openbank tarjeta|2025-12-20|16:15|-8.19|#1</t>
  </si>
  <si>
    <t xml:space="preserve">CaixaBank|2025-12-20||2150.00|3812.77#1</t>
  </si>
  <si>
    <t xml:space="preserve">Openbank tarjeta|2025-12-18|17:07|-11.12|#1</t>
  </si>
  <si>
    <t xml:space="preserve">Openbank tarjeta|2025-12-17|20:07|-5.18|#1</t>
  </si>
  <si>
    <t xml:space="preserve">Openbank tarjeta|2025-12-17|14:00|-7.74|#1</t>
  </si>
  <si>
    <t xml:space="preserve">Openbank tarjeta|2025-12-16|17:31|-26.87|#1</t>
  </si>
  <si>
    <t xml:space="preserve">CaixaBank|2025-12-12||-32.13|1662.77#1</t>
  </si>
  <si>
    <t xml:space="preserve">Openbank tarjeta|2025-12-11|17:52|-52.56|#1</t>
  </si>
  <si>
    <t xml:space="preserve">CaixaBank|2025-12-11||30.00|1694.90#1</t>
  </si>
  <si>
    <t xml:space="preserve">CaixaBank|2025-12-09||-12.99|1664.90#1</t>
  </si>
  <si>
    <t xml:space="preserve">CaixaBank|2025-12-08||-58.18|1677.89#1</t>
  </si>
  <si>
    <t xml:space="preserve">Openbank tarjeta|2025-12-07|13:22|-12.90|#1</t>
  </si>
  <si>
    <t xml:space="preserve">CaixaBank|2025-12-06||-14.95|1736.07#1</t>
  </si>
  <si>
    <t xml:space="preserve">CaixaBank|2025-12-05||-39.90|1751.02#1</t>
  </si>
  <si>
    <t xml:space="preserve">Openbank|2025-12-05||-490.06|1104.20#1</t>
  </si>
  <si>
    <t xml:space="preserve">Openbank tarjeta|2025-12-04|09:00|-36.02|#1</t>
  </si>
  <si>
    <t xml:space="preserve">Openbank tarjeta|2025-12-03|10:07|-5.22|#1</t>
  </si>
  <si>
    <t xml:space="preserve">CaixaBank|2025-12-03||-150.00|1790.92#1</t>
  </si>
  <si>
    <t xml:space="preserve">Openbank tarjeta|2025-12-02|12:45|-57.10|#1</t>
  </si>
  <si>
    <t xml:space="preserve">CaixaBank|2025-12-02||-300.00|2420.92#1</t>
  </si>
  <si>
    <t xml:space="preserve">CaixaBank|2025-12-02||-480.00|1940.92#1</t>
  </si>
  <si>
    <t xml:space="preserve">ING|2025-12-02||300.00|52965.59#1</t>
  </si>
  <si>
    <t xml:space="preserve">Openbank|2025-12-02||480.00|1594.26#1</t>
  </si>
  <si>
    <t xml:space="preserve">Openbank tarjeta|2025-12-01|15:15|-20.00|#1</t>
  </si>
  <si>
    <t xml:space="preserve">ALQUILER VIVIENDA 12/2025</t>
  </si>
  <si>
    <t xml:space="preserve">CaixaBank|2025-12-01||-850.00|2720.92#1</t>
  </si>
  <si>
    <t xml:space="preserve">ING|2025-11-30||32.90|52665.59#1</t>
  </si>
  <si>
    <t xml:space="preserve">CaixaBank|2025-11-28||2150.00|3570.92#1</t>
  </si>
  <si>
    <t xml:space="preserve">Openbank tarjeta|2025-11-27|09:45|-22.02|#1</t>
  </si>
  <si>
    <t xml:space="preserve">Openbank tarjeta|2025-11-26|19:22|-17.06|#1</t>
  </si>
  <si>
    <t xml:space="preserve">Openbank tarjeta|2025-11-26|15:15|-5.90|#1</t>
  </si>
  <si>
    <t xml:space="preserve">Openbank tarjeta|2025-11-26|14:07|-20.38|#1</t>
  </si>
  <si>
    <t xml:space="preserve">CaixaBank|2025-11-24||27.00|1420.92#1</t>
  </si>
  <si>
    <t xml:space="preserve">CaixaBank|2025-11-22||-22.00|1393.92#1</t>
  </si>
  <si>
    <t xml:space="preserve">Openbank tarjeta|2025-11-18|12:31|-38.91|#1</t>
  </si>
  <si>
    <t xml:space="preserve">Openbank tarjeta|2025-11-17|15:52|-7.48|#1</t>
  </si>
  <si>
    <t xml:space="preserve">Openbank tarjeta|2025-11-16|16:15|-55.16|#1</t>
  </si>
  <si>
    <t xml:space="preserve">Openbank tarjeta|2025-11-15|20:31|-20.00|#1</t>
  </si>
  <si>
    <t xml:space="preserve">Openbank tarjeta|2025-11-14|08:52|-42.08|#1</t>
  </si>
  <si>
    <t xml:space="preserve">CaixaBank|2025-11-14||-98.18|1415.92#1</t>
  </si>
  <si>
    <t xml:space="preserve">CaixaBank|2025-11-11||-34.00|1514.10#1</t>
  </si>
  <si>
    <t xml:space="preserve">Openbank tarjeta|2025-11-10|20:00|-33.40|#1</t>
  </si>
  <si>
    <t xml:space="preserve">Openbank tarjeta|2025-11-10|08:00|-7.91|#1</t>
  </si>
  <si>
    <t xml:space="preserve">Openbank tarjeta|2025-11-09|13:00|-55.36|#1</t>
  </si>
  <si>
    <t xml:space="preserve">Openbank tarjeta|2025-11-09|10:22|-44.06|#1</t>
  </si>
  <si>
    <t xml:space="preserve">CaixaBank|2025-11-09||-12.99|1548.10#1</t>
  </si>
  <si>
    <t xml:space="preserve">CaixaBank|2025-11-08||-50.32|1561.09#1</t>
  </si>
  <si>
    <t xml:space="preserve">Openbank tarjeta|2025-11-07|15:22|-4.19|#1</t>
  </si>
  <si>
    <t xml:space="preserve">Openbank tarjeta|2025-11-07|14:07|-15.73|#1</t>
  </si>
  <si>
    <t xml:space="preserve">CaixaBank|2025-11-06||-14.95|1611.41#1</t>
  </si>
  <si>
    <t xml:space="preserve">Openbank tarjeta|2025-11-05|17:22|-6.76|#1</t>
  </si>
  <si>
    <t xml:space="preserve">Openbank tarjeta|2025-11-05|11:52|-43.07|#1</t>
  </si>
  <si>
    <t xml:space="preserve">CaixaBank|2025-11-05||-39.90|1626.36#1</t>
  </si>
  <si>
    <t xml:space="preserve">Openbank|2025-11-05||-445.74|1114.26#1</t>
  </si>
  <si>
    <t xml:space="preserve">Openbank tarjeta|2025-11-04|15:45|-50.59|#1</t>
  </si>
  <si>
    <t xml:space="preserve">CaixaBank|2025-11-03||-150.00|1666.26#1</t>
  </si>
  <si>
    <t xml:space="preserve">CaixaBank|2025-11-02||-300.00|2296.26#1</t>
  </si>
  <si>
    <t xml:space="preserve">CaixaBank|2025-11-02||-480.00|1816.26#1</t>
  </si>
  <si>
    <t xml:space="preserve">ING|2025-11-02||300.00|52632.69#1</t>
  </si>
  <si>
    <t xml:space="preserve">Openbank|2025-11-02||480.00|1560.00#1</t>
  </si>
  <si>
    <t xml:space="preserve">ALQUILER VIVIENDA 11/2025</t>
  </si>
  <si>
    <t xml:space="preserve">CaixaBank|2025-11-01||-850.00|2596.26#1</t>
  </si>
  <si>
    <t xml:space="preserve">ING|2025-10-31||32.69|52332.69#1</t>
  </si>
  <si>
    <t xml:space="preserve">Openbank tarjeta|2025-10-28|15:31|-32.16|#1</t>
  </si>
  <si>
    <t xml:space="preserve">CaixaBank|2025-10-28||2150.00|3446.26#1</t>
  </si>
  <si>
    <t xml:space="preserve">Openbank tarjeta|2025-10-25|20:31|-43.53|#1</t>
  </si>
  <si>
    <t xml:space="preserve">CaixaBank|2025-10-24||37.00|1296.26#1</t>
  </si>
  <si>
    <t xml:space="preserve">Openbank tarjeta|2025-10-22|14:15|-12.40|#1</t>
  </si>
  <si>
    <t xml:space="preserve">Openbank tarjeta|2025-10-21|17:15|-7.08|#1</t>
  </si>
  <si>
    <t xml:space="preserve">Openbank tarjeta|2025-10-19|19:52|-46.49|#1</t>
  </si>
  <si>
    <t xml:space="preserve">Openbank tarjeta|2025-10-18|15:07|-4.40|#1</t>
  </si>
  <si>
    <t xml:space="preserve">Openbank tarjeta|2025-10-18|09:22|-20.00|#1</t>
  </si>
  <si>
    <t xml:space="preserve">Openbank tarjeta|2025-10-17|21:31|-51.05|#1</t>
  </si>
  <si>
    <t xml:space="preserve">Openbank tarjeta|2025-10-17|17:07|-16.25|#1</t>
  </si>
  <si>
    <t xml:space="preserve">Openbank tarjeta|2025-10-16|16:15|-14.76|#1</t>
  </si>
  <si>
    <t xml:space="preserve">Openbank tarjeta|2025-10-15|17:00|-30.48|#1</t>
  </si>
  <si>
    <t xml:space="preserve">Openbank tarjeta|2025-10-15|14:31|-37.20|#1</t>
  </si>
  <si>
    <t xml:space="preserve">Openbank tarjeta|2025-10-13|16:45|-9.00|#1</t>
  </si>
  <si>
    <t xml:space="preserve">Openbank tarjeta|2025-10-12|13:52|-8.87|#1</t>
  </si>
  <si>
    <t xml:space="preserve">CaixaBank|2025-10-12||-36.52|1259.26#1</t>
  </si>
  <si>
    <t xml:space="preserve">CaixaBank|2025-10-11||-19.00|1295.78#1</t>
  </si>
  <si>
    <t xml:space="preserve">CaixaBank|2025-10-09||-12.99|1314.78#1</t>
  </si>
  <si>
    <t xml:space="preserve">CaixaBank|2025-10-08||-37.38|1327.77#1</t>
  </si>
  <si>
    <t xml:space="preserve">CaixaBank|2025-10-06||-14.95|1365.15#1</t>
  </si>
  <si>
    <t xml:space="preserve">CaixaBank|2025-10-05||-39.90|1380.10#1</t>
  </si>
  <si>
    <t xml:space="preserve">Openbank tarjeta|2025-10-04|09:22|-32.94|#1</t>
  </si>
  <si>
    <t xml:space="preserve">Openbank tarjeta|2025-10-03|09:31|-7.20|#1</t>
  </si>
  <si>
    <t xml:space="preserve">CaixaBank|2025-10-03||-150.00|1420.00#1</t>
  </si>
  <si>
    <t xml:space="preserve">CaixaBank|2025-10-02||-300.00|2050.00#1</t>
  </si>
  <si>
    <t xml:space="preserve">CaixaBank|2025-10-02||-480.00|1570.00#1</t>
  </si>
  <si>
    <t xml:space="preserve">ING|2025-10-02||300.00|52300.00#1</t>
  </si>
  <si>
    <t xml:space="preserve">Openbank|2025-10-02||480.00|1080.00#1</t>
  </si>
  <si>
    <t xml:space="preserve">Openbank tarjeta|2025-10-01|18:22|-19.41|#1</t>
  </si>
  <si>
    <t xml:space="preserve">Openbank tarjeta|2025-10-01|13:15|-52.52|#1</t>
  </si>
  <si>
    <t xml:space="preserve">ALQUILER VIVIENDA 10/2025</t>
  </si>
  <si>
    <t xml:space="preserve">CaixaBank|2025-10-01||-850.00|2350.00#1</t>
  </si>
  <si>
    <t xml:space="preserve">FLEXIBLE · retribución flexible</t>
  </si>
  <si>
    <t xml:space="preserve">Lo que gastas con la tarjeta de retribución flexible de tu empresa y se descuenta de la nómina. Copia cada mes esas líneas de tu nómina. Cuenta a la vez como ingreso y como gasto: tu ahorro no cambia, tus gastos reales sí.</t>
  </si>
  <si>
    <t xml:space="preserve">Mes de la nómina</t>
  </si>
  <si>
    <t xml:space="preserve">Comida</t>
  </si>
  <si>
    <t xml:space="preserve">Total</t>
  </si>
  <si>
    <t xml:space="preserve">mes (calc)</t>
  </si>
  <si>
    <t xml:space="preserve">Nómina de junio</t>
  </si>
  <si>
    <t xml:space="preserve">Nómina de julio</t>
  </si>
  <si>
    <t xml:space="preserve">Agosto, vacaciones</t>
  </si>
  <si>
    <t xml:space="preserve">Nómina de septiembre</t>
  </si>
  <si>
    <t xml:space="preserve">CASA · gastos de la vivienda</t>
  </si>
  <si>
    <t xml:space="preserve">Gastos de la vivienda por concepto, últimos 12 meses. Sale de las categorías del grupo «Casa».</t>
  </si>
  <si>
    <t xml:space="preserve">Si añades una categoría del grupo «Casa» en CATEGORÍAS, añade aquí su fila.</t>
  </si>
  <si>
    <t xml:space="preserve">Total 12 meses</t>
  </si>
  <si>
    <t xml:space="preserve">Media al mes</t>
  </si>
  <si>
    <t xml:space="preserve">Último mes</t>
  </si>
  <si>
    <t xml:space="preserve">Comunidad</t>
  </si>
  <si>
    <t xml:space="preserve">IBI y tasas</t>
  </si>
  <si>
    <t xml:space="preserve">Mantenimiento del hogar</t>
  </si>
  <si>
    <t xml:space="preserve">Total casa</t>
  </si>
  <si>
    <t xml:space="preserve">Meses con datos en la ventana</t>
  </si>
  <si>
    <t xml:space="preserve">· La media usa solo meses completos con datos. Agua y algunos recibos son bimestrales: mira la media, no un mes suelto.</t>
  </si>
  <si>
    <t xml:space="preserve">DECISIONES · ¿qué pasa si…?</t>
  </si>
  <si>
    <t xml:space="preserve">Cambia las palancas y mira en MI FUTURO cómo se mueve tu patrimonio frente al plan base.</t>
  </si>
  <si>
    <t xml:space="preserve">PALANCAS</t>
  </si>
  <si>
    <t xml:space="preserve">Pasar ya de tu efectivo a inversión</t>
  </si>
  <si>
    <t xml:space="preserve">Si tu efectivo casi no da intereses, prueba qué pasa si inviertes una parte</t>
  </si>
  <si>
    <t xml:space="preserve">Aportación mensual a inversión</t>
  </si>
  <si>
    <t xml:space="preserve">Recorte de gastos mensuales</t>
  </si>
  <si>
    <t xml:space="preserve">¿Inviertes lo que recortas?</t>
  </si>
  <si>
    <t xml:space="preserve">Sí</t>
  </si>
  <si>
    <t xml:space="preserve">Rentabilidad de la inversión en este escenario</t>
  </si>
  <si>
    <t xml:space="preserve">¿Incluir la compra de la vivienda?</t>
  </si>
  <si>
    <t xml:space="preserve">Escenario de compra</t>
  </si>
  <si>
    <t xml:space="preserve">Comprar ya</t>
  </si>
  <si>
    <t xml:space="preserve">Los números salen de VIVIENDA</t>
  </si>
  <si>
    <t xml:space="preserve">LO QUE ENTRA Y SALE (calculado)</t>
  </si>
  <si>
    <t xml:space="preserve">Dentro de cuántos años compras</t>
  </si>
  <si>
    <t xml:space="preserve">Sale de tus ahorros para la compra</t>
  </si>
  <si>
    <t xml:space="preserve">Hipoteca</t>
  </si>
  <si>
    <t xml:space="preserve">Cuota mensual</t>
  </si>
  <si>
    <t xml:space="preserve">Años de hipoteca</t>
  </si>
  <si>
    <t xml:space="preserve">Alquiler que dejas de pagar al comprar (al mes, € de hoy)</t>
  </si>
  <si>
    <t xml:space="preserve">· El escenario saca la compra de tu inversión y paga la cuota con lo que ibas a aportar. Desde que compras, el alquiler que ya no pagas va a tu inversión y deja de contar como gasto.</t>
  </si>
  <si>
    <t xml:space="preserve">· Los inmuebles no cuentan como libertad financiera: no dan para vivir salvo que den renta o los vendas.</t>
  </si>
  <si>
    <t xml:space="preserve">HISTORIAL · lo que he ido cambiando</t>
  </si>
  <si>
    <t xml:space="preserve">Cada vez que cambias una cifra del plan (aportación a viajes, pensión, una decisión…), apúntalo aquí: la más reciente arriba.</t>
  </si>
  <si>
    <t xml:space="preserve">Qué cambia</t>
  </si>
  <si>
    <t xml:space="preserve">Antes</t>
  </si>
  <si>
    <t xml:space="preserve">Ahora</t>
  </si>
  <si>
    <t xml:space="preserve">Por qué</t>
  </si>
  <si>
    <t xml:space="preserve">Dónde</t>
  </si>
  <si>
    <t xml:space="preserve">Cuenta de viajes</t>
  </si>
  <si>
    <t xml:space="preserve">—</t>
  </si>
  <si>
    <t xml:space="preserve">150 €/mes</t>
  </si>
  <si>
    <t xml:space="preserve">Pagar mi parte de los viajes desde una cuenta aparte</t>
  </si>
  <si>
    <t xml:space="preserve">Retribución flexible</t>
  </si>
  <si>
    <t xml:space="preserve">No se contaba</t>
  </si>
  <si>
    <t xml:space="preserve">Comida y transporte desde junio</t>
  </si>
  <si>
    <t xml:space="preserve">Se descuenta de la nómina: es gasto real aunque no pase por el banco</t>
  </si>
  <si>
    <t xml:space="preserve">VIVIENDA · ¿Comprar ahora o esperar?</t>
  </si>
  <si>
    <t xml:space="preserve">Compara comprar ya con seguir de alquiler unos años y comprar después, con el mismo esfuerzo al mes. Datos ficticios: pon los tuyos.</t>
  </si>
  <si>
    <t xml:space="preserve">SUPUESTOS</t>
  </si>
  <si>
    <t xml:space="preserve">Precio de la vivienda</t>
  </si>
  <si>
    <t xml:space="preserve">Ficticio. Lo que costaría hoy</t>
  </si>
  <si>
    <t xml:space="preserve">Parte que ya tienes</t>
  </si>
  <si>
    <t xml:space="preserve">0 % si la compras entera</t>
  </si>
  <si>
    <t xml:space="preserve">Ahorros que pones en la compra</t>
  </si>
  <si>
    <t xml:space="preserve">El resto lo financia la hipoteca</t>
  </si>
  <si>
    <t xml:space="preserve">Impuestos de la compra</t>
  </si>
  <si>
    <t xml:space="preserve">ITP si es de segunda mano (cambia según la comunidad autónoma); IVA y AJD si es nueva. Confírmalo</t>
  </si>
  <si>
    <t xml:space="preserve">Notaría + registro + gestoría</t>
  </si>
  <si>
    <t xml:space="preserve">Estimación; pide presupuesto</t>
  </si>
  <si>
    <t xml:space="preserve">Coste de la tasación</t>
  </si>
  <si>
    <t xml:space="preserve">La paga el comprador</t>
  </si>
  <si>
    <t xml:space="preserve">Tipo de interés de la hipoteca</t>
  </si>
  <si>
    <t xml:space="preserve">Ficticio: compara ofertas</t>
  </si>
  <si>
    <t xml:space="preserve">Plazo de la hipoteca que pedirías (años)</t>
  </si>
  <si>
    <t xml:space="preserve">Edad máxima al terminar de pagar</t>
  </si>
  <si>
    <t xml:space="preserve">Muchos bancos ponen el límite entre 70 y 75: pregúntalo. Si se pasa, el plazo se acorta solo</t>
  </si>
  <si>
    <t xml:space="preserve">Alquiler que pagas mientras no compras (al mes)</t>
  </si>
  <si>
    <t xml:space="preserve">Si ya vives en tu casa, pon 0</t>
  </si>
  <si>
    <t xml:space="preserve">Años de espera (escenario B)</t>
  </si>
  <si>
    <t xml:space="preserve">Horizonte de comparación (años)</t>
  </si>
  <si>
    <t xml:space="preserve">Máximo 30</t>
  </si>
  <si>
    <t xml:space="preserve">Revalorización anual de la vivienda</t>
  </si>
  <si>
    <t xml:space="preserve">Viene de PARÁMETROS</t>
  </si>
  <si>
    <t xml:space="preserve">Rentabilidad si el dinero sigue invertido</t>
  </si>
  <si>
    <t xml:space="preserve">ESCENARIO A · COMPRAR YA</t>
  </si>
  <si>
    <t xml:space="preserve">ESCENARIO B · ESPERAR</t>
  </si>
  <si>
    <t xml:space="preserve">Lo que compras (precio × lo que te falta)</t>
  </si>
  <si>
    <t xml:space="preserve">Precio de la vivienda cuando compres</t>
  </si>
  <si>
    <t xml:space="preserve">Impuestos</t>
  </si>
  <si>
    <t xml:space="preserve">Lo que compras entonces</t>
  </si>
  <si>
    <t xml:space="preserve">Gastos totales (impuestos + notaría + tasación)</t>
  </si>
  <si>
    <t xml:space="preserve">Gastos totales</t>
  </si>
  <si>
    <t xml:space="preserve">Dinero necesario</t>
  </si>
  <si>
    <t xml:space="preserve">Lo que habrás juntado (ahorros + lo que sobra de la cuota tras el alquiler)</t>
  </si>
  <si>
    <t xml:space="preserve">Sale de tus ahorros</t>
  </si>
  <si>
    <t xml:space="preserve">% financiado de lo que compras</t>
  </si>
  <si>
    <t xml:space="preserve">Sale de lo que has juntado</t>
  </si>
  <si>
    <t xml:space="preserve">% sobre el valor de la vivienda (lo que mira el banco)</t>
  </si>
  <si>
    <t xml:space="preserve">% sobre el valor de la vivienda</t>
  </si>
  <si>
    <t xml:space="preserve">Plazo real (con tu edad)</t>
  </si>
  <si>
    <t xml:space="preserve">Plazo real (con tu edad entonces)</t>
  </si>
  <si>
    <t xml:space="preserve">Intereses totales</t>
  </si>
  <si>
    <t xml:space="preserve">Te cuesta de más por esperar</t>
  </si>
  <si>
    <t xml:space="preserve">RESULTADO</t>
  </si>
  <si>
    <t xml:space="preserve">Años de comparación</t>
  </si>
  <si>
    <t xml:space="preserve">Patrimonio si compras ya (A)</t>
  </si>
  <si>
    <t xml:space="preserve">Patrimonio si esperas (B)</t>
  </si>
  <si>
    <t xml:space="preserve">Diferencia (A − B)</t>
  </si>
  <si>
    <t xml:space="preserve">· Mismo esfuerzo al mes en los dos: en B pagas el alquiler e inviertes lo que te sobra de la cuota de A.</t>
  </si>
  <si>
    <t xml:space="preserve">· Lo que decide casi siempre: revalorización de la vivienda e intereses de la hipoteca frente a lo que rinde el dinero invertido y lo que se va en alquiler.</t>
  </si>
  <si>
    <t xml:space="preserve">· Riesgos de esperar que no salen en la cuenta: que los precios o los tipos suban más de lo previsto.</t>
  </si>
  <si>
    <t xml:space="preserve">· No es asesoramiento fiscal ni financiero: confirma impuestos y gastos con una gestoría antes de firmar.</t>
  </si>
  <si>
    <t xml:space="preserve">EVOLUCIÓN AÑO A AÑO (patrimonio ligado a la vivienda: vivienda − deuda + lo invertido)</t>
  </si>
  <si>
    <t xml:space="preserve">Valor de la vivienda</t>
  </si>
  <si>
    <t xml:space="preserve">A · Deuda</t>
  </si>
  <si>
    <t xml:space="preserve">A · Invertido</t>
  </si>
  <si>
    <t xml:space="preserve">A · Patrimonio</t>
  </si>
  <si>
    <t xml:space="preserve">B · Deuda</t>
  </si>
  <si>
    <t xml:space="preserve">B · Invertido</t>
  </si>
  <si>
    <t xml:space="preserve">B · Patrimonio</t>
  </si>
  <si>
    <t xml:space="preserve">A − B</t>
  </si>
  <si>
    <t xml:space="preserve">INMUEBLES</t>
  </si>
  <si>
    <t xml:space="preserve">Lo que tienes en ladrillo. Suma a tu patrimonio; a la libertad financiera solo si da renta. Valores estimados: cámbialos.</t>
  </si>
  <si>
    <t xml:space="preserve">Inmueble</t>
  </si>
  <si>
    <t xml:space="preserve">Valor estimado (100 %)</t>
  </si>
  <si>
    <t xml:space="preserve">Tu %</t>
  </si>
  <si>
    <t xml:space="preserve">Tu parte</t>
  </si>
  <si>
    <t xml:space="preserve">Renta anual</t>
  </si>
  <si>
    <t xml:space="preserve">Gastos anuales</t>
  </si>
  <si>
    <t xml:space="preserve">Revalorización anual</t>
  </si>
  <si>
    <t xml:space="preserve">Vivienda (la de VIVIENDA)</t>
  </si>
  <si>
    <t xml:space="preserve">Valor y % vienen de VIVIENDA: 0 % mientras no la compres</t>
  </si>
  <si>
    <t xml:space="preserve">Renta neta anual</t>
  </si>
  <si>
    <t xml:space="preserve">· La renta neta, si algún día la hay, se suma a la pensión en la fase de jubilación.</t>
  </si>
  <si>
    <t xml:space="preserve">· Cada inmueble lleva su revalorización: un local o un garaje no se mueven como la vivienda.</t>
  </si>
  <si>
    <t xml:space="preserve">VIAJES · tu cuenta de viajes</t>
  </si>
  <si>
    <t xml:space="preserve">Aportas cada mes a una cuenta de viajes y de ahí pagas tu parte. Cada viaje te dice cuánto queda en la cuenta y si llega.</t>
  </si>
  <si>
    <t xml:space="preserve">TU CUENTA DE VIAJES</t>
  </si>
  <si>
    <t xml:space="preserve">¿Y SI APORTO OTRA CANTIDAD?</t>
  </si>
  <si>
    <t xml:space="preserve">Aportación mensual</t>
  </si>
  <si>
    <t xml:space="preserve">€ al mes</t>
  </si>
  <si>
    <t xml:space="preserve">Lo de ahora</t>
  </si>
  <si>
    <t xml:space="preserve">Opción A</t>
  </si>
  <si>
    <t xml:space="preserve">Opción B</t>
  </si>
  <si>
    <t xml:space="preserve">Opción C</t>
  </si>
  <si>
    <t xml:space="preserve">Primera aportación (mes)</t>
  </si>
  <si>
    <t xml:space="preserve">Saldo que ya había en la cuenta</t>
  </si>
  <si>
    <t xml:space="preserve">Saldo de la cuenta a fin de 2026</t>
  </si>
  <si>
    <t xml:space="preserve">Año que miras</t>
  </si>
  <si>
    <t xml:space="preserve">Saldo de la cuenta a fin de 2027</t>
  </si>
  <si>
    <t xml:space="preserve">Aportado ese año</t>
  </si>
  <si>
    <t xml:space="preserve">Saldo más bajo justo después de un viaje</t>
  </si>
  <si>
    <t xml:space="preserve">Pagado de la cuenta ese año (tu parte)</t>
  </si>
  <si>
    <t xml:space="preserve">¿Llegas a todos los viajes?</t>
  </si>
  <si>
    <t xml:space="preserve">Saldo a final de año</t>
  </si>
  <si>
    <t xml:space="preserve">Ahorro que te queda al mes</t>
  </si>
  <si>
    <t xml:space="preserve">Viajes de ese año</t>
  </si>
  <si>
    <t xml:space="preserve">% de tus ingresos que ahorras</t>
  </si>
  <si>
    <t xml:space="preserve">Aviso</t>
  </si>
  <si>
    <t xml:space="preserve">Patrimonio líquido a los 67</t>
  </si>
  <si>
    <t xml:space="preserve">Libertad financiera a los 67</t>
  </si>
  <si>
    <t xml:space="preserve">Ahorro sobre tu media real: suma lo que ya aportas a la cuenta de viajes y resta la opción. Patrimonio y libertad a los 67 suponen aportar esa cantidad cada año.</t>
  </si>
  <si>
    <t xml:space="preserve">Viaje</t>
  </si>
  <si>
    <t xml:space="preserve">Coste total</t>
  </si>
  <si>
    <t xml:space="preserve">Personas</t>
  </si>
  <si>
    <t xml:space="preserve">Se paga con</t>
  </si>
  <si>
    <t xml:space="preserve">Coste real (tu parte)</t>
  </si>
  <si>
    <t xml:space="preserve">Saldo de la cuenta tras el viaje</t>
  </si>
  <si>
    <t xml:space="preserve">¿Llega?</t>
  </si>
  <si>
    <t xml:space="preserve">meses aportados</t>
  </si>
  <si>
    <t xml:space="preserve">pagado de la cuenta hasta aquí</t>
  </si>
  <si>
    <t xml:space="preserve">saldo · ahora</t>
  </si>
  <si>
    <t xml:space="preserve">saldo · A</t>
  </si>
  <si>
    <t xml:space="preserve">saldo · B</t>
  </si>
  <si>
    <t xml:space="preserve">saldo · C</t>
  </si>
  <si>
    <t xml:space="preserve">Escapada a Oporto</t>
  </si>
  <si>
    <t xml:space="preserve">Organizado</t>
  </si>
  <si>
    <t xml:space="preserve">Vuelos y hotel ya pagados</t>
  </si>
  <si>
    <t xml:space="preserve">Fin de semana rural</t>
  </si>
  <si>
    <t xml:space="preserve">Mi bolsillo</t>
  </si>
  <si>
    <t xml:space="preserve">Idea</t>
  </si>
  <si>
    <t xml:space="preserve">Si sale, lo pago aparte</t>
  </si>
  <si>
    <t xml:space="preserve">Roma</t>
  </si>
  <si>
    <t xml:space="preserve">Planificando</t>
  </si>
  <si>
    <t xml:space="preserve">Fecha aproximada</t>
  </si>
  <si>
    <t xml:space="preserve">Islandia</t>
  </si>
  <si>
    <t xml:space="preserve">Sin fecha ni coste todavía</t>
  </si>
  <si>
    <t xml:space="preserve">Supuestos del plan. Amarillo/azul: los cambias tú. Verde: salen de tus movimientos (puedes escribir encima una cifra).</t>
  </si>
  <si>
    <t xml:space="preserve">Parámetro</t>
  </si>
  <si>
    <t xml:space="preserve">Valor</t>
  </si>
  <si>
    <t xml:space="preserve">Edad actual</t>
  </si>
  <si>
    <t xml:space="preserve">Edad de jubilación</t>
  </si>
  <si>
    <t xml:space="preserve">Año actual</t>
  </si>
  <si>
    <t xml:space="preserve">Año de la primera fila de la proyección</t>
  </si>
  <si>
    <t xml:space="preserve">Rentabilidad anual de la inversión</t>
  </si>
  <si>
    <t xml:space="preserve">Supuesto nominal, antes de impuestos</t>
  </si>
  <si>
    <t xml:space="preserve">Rentabilidad anual del plan de pensiones</t>
  </si>
  <si>
    <t xml:space="preserve">Supuesto nominal</t>
  </si>
  <si>
    <t xml:space="preserve">Rentabilidad anual del efectivo</t>
  </si>
  <si>
    <t xml:space="preserve">Intereses de los últimos 12 meses ÷ tu efectivo de hoy. Si tus cuentas no pagan intereses, sale casi cero</t>
  </si>
  <si>
    <t xml:space="preserve">Inflación anual</t>
  </si>
  <si>
    <t xml:space="preserve">Para pasar a € de hoy</t>
  </si>
  <si>
    <t xml:space="preserve">Hoy no inviertes: pruébalo en DECISIONES</t>
  </si>
  <si>
    <t xml:space="preserve">Aportación mensual al plan de pensiones</t>
  </si>
  <si>
    <t xml:space="preserve">Si no tienes plan de pensiones, déjalo en 0</t>
  </si>
  <si>
    <t xml:space="preserve">Ahorro mensual que dejas en efectivo</t>
  </si>
  <si>
    <t xml:space="preserve">Media de tus meses completos en MIS DATOS</t>
  </si>
  <si>
    <t xml:space="preserve">Subida anual de las aportaciones</t>
  </si>
  <si>
    <t xml:space="preserve">Si tu sueldo sube, aportas algo más</t>
  </si>
  <si>
    <t xml:space="preserve">Gastos mensuales (€ de hoy)</t>
  </si>
  <si>
    <t xml:space="preserve">Media de tus meses completos. Ojo: no incluye lo que queda por revisar, ni lo que pague otra persona o se pague en efectivo. Si sabes que gastas más, escribe tu cifra encima</t>
  </si>
  <si>
    <t xml:space="preserve">Regla de retirada</t>
  </si>
  <si>
    <t xml:space="preserve">Regla del 4 %: lo que podrías sacar al año sin agotar el capital</t>
  </si>
  <si>
    <t xml:space="preserve">Pensión pública estimada al mes (€ de hoy, 14 pagas)</t>
  </si>
  <si>
    <t xml:space="preserve">Ficticio. Consulta la tuya en Tu Seguridad Social; se supone que sube con la inflación</t>
  </si>
  <si>
    <t xml:space="preserve">Meses de colchón de emergencia</t>
  </si>
  <si>
    <t xml:space="preserve">Supuesto</t>
  </si>
  <si>
    <t xml:space="preserve">Rentabilidad del capital en la jubilación</t>
  </si>
  <si>
    <t xml:space="preserve">Más prudente que en la fase de ahorro</t>
  </si>
  <si>
    <t xml:space="preserve">NIVELES (por % de libertad financiera)</t>
  </si>
  <si>
    <t xml:space="preserve">Desde</t>
  </si>
  <si>
    <t xml:space="preserve">Nivel</t>
  </si>
  <si>
    <t xml:space="preserve">🌱 Semilla</t>
  </si>
  <si>
    <t xml:space="preserve">🛡️ Escudo</t>
  </si>
  <si>
    <t xml:space="preserve">🧭 Brújula</t>
  </si>
  <si>
    <t xml:space="preserve">🏗️ Cimientos</t>
  </si>
  <si>
    <t xml:space="preserve">🌉 Puente</t>
  </si>
  <si>
    <t xml:space="preserve">🏔️ Cumbre</t>
  </si>
  <si>
    <t xml:space="preserve">🕊️ Libre</t>
  </si>
  <si>
    <t xml:space="preserve">Si el concepto contiene el texto → esa categoría. Gana la primera que encaje (de arriba abajo). Sin mayúsculas ni acentos que importen.</t>
  </si>
  <si>
    <t xml:space="preserve">El concepto contiene</t>
  </si>
  <si>
    <t xml:space="preserve">Solo en la cuenta (opcional)</t>
  </si>
  <si>
    <t xml:space="preserve">Signo (+ / − / vacío)</t>
  </si>
  <si>
    <t xml:space="preserve">NOMINA</t>
  </si>
  <si>
    <t xml:space="preserve">+</t>
  </si>
  <si>
    <t xml:space="preserve">INTERESES</t>
  </si>
  <si>
    <t xml:space="preserve">DEVOLUCION AEAT</t>
  </si>
  <si>
    <t xml:space="preserve">TRASPASO</t>
  </si>
  <si>
    <t xml:space="preserve">Entre tus propias cuentas: no es ingreso ni gasto</t>
  </si>
  <si>
    <t xml:space="preserve">LIQUIDACION TARJETA</t>
  </si>
  <si>
    <t xml:space="preserve">Lo que cuenta es cada compra de la tarjeta, no el cargo mensual</t>
  </si>
  <si>
    <t xml:space="preserve">CUENTA DE VIAJES</t>
  </si>
  <si>
    <t xml:space="preserve">-</t>
  </si>
  <si>
    <t xml:space="preserve">ALQUILER</t>
  </si>
  <si>
    <t xml:space="preserve">LUZ HOGAR</t>
  </si>
  <si>
    <t xml:space="preserve">AGUAS MUNICIPALES</t>
  </si>
  <si>
    <t xml:space="preserve">Bimestral</t>
  </si>
  <si>
    <t xml:space="preserve">FIBRANET</t>
  </si>
  <si>
    <t xml:space="preserve">SEGURO HOGAR</t>
  </si>
  <si>
    <t xml:space="preserve">Anual</t>
  </si>
  <si>
    <t xml:space="preserve">MOVILCOM</t>
  </si>
  <si>
    <t xml:space="preserve">SUPERMERCADO</t>
  </si>
  <si>
    <t xml:space="preserve">FRUTERIA</t>
  </si>
  <si>
    <t xml:space="preserve">RESTAURANTE</t>
  </si>
  <si>
    <t xml:space="preserve">CAFETERIA</t>
  </si>
  <si>
    <t xml:space="preserve">TRANSPORTE PUBLICO</t>
  </si>
  <si>
    <t xml:space="preserve">GASOLINERA</t>
  </si>
  <si>
    <t xml:space="preserve">FARMACIA</t>
  </si>
  <si>
    <t xml:space="preserve">STREAMFLIX</t>
  </si>
  <si>
    <t xml:space="preserve">PELUQUERIA</t>
  </si>
  <si>
    <t xml:space="preserve">CINE</t>
  </si>
  <si>
    <t xml:space="preserve">LIBRERIA</t>
  </si>
  <si>
    <t xml:space="preserve">Lo que no encaja en ninguna regla (Bizum, ingresos en efectivo…) entra como «❓ Por revisar». Tras añadir reglas: menú Plan financiero → Reaplicar reglas a lo pendiente.</t>
  </si>
  <si>
    <t xml:space="preserve">Tipo decide si cuenta como ingreso, gasto o nada (traspaso). Grupo «Casa» es lo que sale en la pestaña CASA. Puedes añadir filas.</t>
  </si>
  <si>
    <t xml:space="preserve">Ingreso</t>
  </si>
  <si>
    <t xml:space="preserve">Trabajo</t>
  </si>
  <si>
    <t xml:space="preserve">Otros ingresos</t>
  </si>
  <si>
    <t xml:space="preserve">Regalos recibidos</t>
  </si>
  <si>
    <t xml:space="preserve">Ingreso de efectivo propio</t>
  </si>
  <si>
    <t xml:space="preserve">Traspaso</t>
  </si>
  <si>
    <t xml:space="preserve">Traspasos</t>
  </si>
  <si>
    <t xml:space="preserve">Gasto</t>
  </si>
  <si>
    <t xml:space="preserve">Casa</t>
  </si>
  <si>
    <t xml:space="preserve">Salud</t>
  </si>
  <si>
    <t xml:space="preserve">Seguros</t>
  </si>
  <si>
    <t xml:space="preserve">Personal</t>
  </si>
  <si>
    <t xml:space="preserve">Regalos</t>
  </si>
  <si>
    <t xml:space="preserve">Gastos compartidos</t>
  </si>
  <si>
    <t xml:space="preserve">Ocio</t>
  </si>
  <si>
    <t xml:space="preserve">Viajes</t>
  </si>
  <si>
    <t xml:space="preserve">Efectivo</t>
  </si>
  <si>
    <t xml:space="preserve">Otros gastos</t>
  </si>
  <si>
    <t xml:space="preserve">Otros</t>
  </si>
  <si>
    <t xml:space="preserve">PROYECCIÓN</t>
  </si>
  <si>
    <t xml:space="preserve">Cálculo año a año. No hace falta tocar nada aquí. Si «Inversión con decisiones» sale negativa, ese dinero sale del efectivo.</t>
  </si>
  <si>
    <t xml:space="preserve">PUNTO DE PARTIDA (último mes de MIS DATOS)</t>
  </si>
  <si>
    <t xml:space="preserve">Último mes registrado</t>
  </si>
  <si>
    <t xml:space="preserve">Efectivo (CaixaBank + Openbank + ING)</t>
  </si>
  <si>
    <t xml:space="preserve">Tus inmuebles (tu parte)</t>
  </si>
  <si>
    <t xml:space="preserve">Patrimonio total con inmuebles</t>
  </si>
  <si>
    <t xml:space="preserve">Años hasta la jubilación</t>
  </si>
  <si>
    <t xml:space="preserve">FASE DE AHORRO (hasta la jubilación)</t>
  </si>
  <si>
    <t xml:space="preserve">t</t>
  </si>
  <si>
    <t xml:space="preserve">Pensiones</t>
  </si>
  <si>
    <t xml:space="preserve">Total líquido</t>
  </si>
  <si>
    <t xml:space="preserve">Total en € de hoy</t>
  </si>
  <si>
    <t xml:space="preserve">Lo que tenías hoy</t>
  </si>
  <si>
    <t xml:space="preserve">Lo que ahorras</t>
  </si>
  <si>
    <t xml:space="preserve">Lo que generan tus inversiones</t>
  </si>
  <si>
    <t xml:space="preserve">% libertad financiera</t>
  </si>
  <si>
    <t xml:space="preserve">Inversión con decisiones</t>
  </si>
  <si>
    <t xml:space="preserve">Total con decisiones</t>
  </si>
  <si>
    <t xml:space="preserve">Gastos con decisiones</t>
  </si>
  <si>
    <t xml:space="preserve">% libertad con decisiones</t>
  </si>
  <si>
    <t xml:space="preserve">Inmuebles (sin decisiones)</t>
  </si>
  <si>
    <t xml:space="preserve">Inmuebles netos de hipoteca (con decisiones)</t>
  </si>
  <si>
    <t xml:space="preserve">Total con inmuebles (sin decisiones)</t>
  </si>
  <si>
    <t xml:space="preserve">Total con inmuebles (con decisiones)</t>
  </si>
  <si>
    <t xml:space="preserve">Efectivo con decisiones</t>
  </si>
  <si>
    <t xml:space="preserve">FASE DE JUBILACIÓN (sacas cada año lo que no cubren la pensión y las rentas)</t>
  </si>
  <si>
    <t xml:space="preserve">k</t>
  </si>
  <si>
    <t xml:space="preserve">Capital al empezar</t>
  </si>
  <si>
    <t xml:space="preserve">Gastos del año</t>
  </si>
  <si>
    <t xml:space="preserve">Pensión del año</t>
  </si>
  <si>
    <t xml:space="preserve">Rentas inmuebles</t>
  </si>
  <si>
    <t xml:space="preserve">Lo que sacas</t>
  </si>
  <si>
    <t xml:space="preserve">Capital al acabar</t>
  </si>
  <si>
    <t xml:space="preserve">Capital al empezar (con decisiones)</t>
  </si>
  <si>
    <t xml:space="preserve">Gastos (con decisiones)</t>
  </si>
  <si>
    <t xml:space="preserve">Cuota hipoteca pendiente</t>
  </si>
  <si>
    <t xml:space="preserve">Lo que sacas (con decisiones)</t>
  </si>
  <si>
    <t xml:space="preserve">Capital al acabar (con decisiones)</t>
  </si>
  <si>
    <t xml:space="preserve">Te dura hasta los (sin decisiones)</t>
  </si>
  <si>
    <t xml:space="preserve">Te dura hasta los (con decisiones)</t>
  </si>
  <si>
    <t xml:space="preserve">Esta pestaña la lee el dashboard. No la toques: todo son fórmulas.</t>
  </si>
  <si>
    <t xml:space="preserve">## KPI</t>
  </si>
  <si>
    <t xml:space="preserve">clave</t>
  </si>
  <si>
    <t xml:space="preserve">valor</t>
  </si>
  <si>
    <t xml:space="preserve">fecha_datos</t>
  </si>
  <si>
    <t xml:space="preserve">patrimonio_liquido</t>
  </si>
  <si>
    <t xml:space="preserve">inmuebles</t>
  </si>
  <si>
    <t xml:space="preserve">patrimonio_total</t>
  </si>
  <si>
    <t xml:space="preserve">cuenta_1</t>
  </si>
  <si>
    <t xml:space="preserve">cuenta_2</t>
  </si>
  <si>
    <t xml:space="preserve">cuenta_3</t>
  </si>
  <si>
    <t xml:space="preserve">nombre_cuenta_1</t>
  </si>
  <si>
    <t xml:space="preserve">nombre_cuenta_2</t>
  </si>
  <si>
    <t xml:space="preserve">nombre_cuenta_3</t>
  </si>
  <si>
    <t xml:space="preserve">libertad</t>
  </si>
  <si>
    <t xml:space="preserve">nivel</t>
  </si>
  <si>
    <t xml:space="preserve">siguiente_nivel</t>
  </si>
  <si>
    <t xml:space="preserve">ingresos_medio</t>
  </si>
  <si>
    <t xml:space="preserve">gastos_medio</t>
  </si>
  <si>
    <t xml:space="preserve">ahorro_medio</t>
  </si>
  <si>
    <t xml:space="preserve">casa_media</t>
  </si>
  <si>
    <t xml:space="preserve">por_revisar</t>
  </si>
  <si>
    <t xml:space="preserve">edad</t>
  </si>
  <si>
    <t xml:space="preserve">edad_jubilacion</t>
  </si>
  <si>
    <t xml:space="preserve">pension_mes</t>
  </si>
  <si>
    <t xml:space="preserve">rentabilidad_efectivo</t>
  </si>
  <si>
    <t xml:space="preserve">patrimonio_jub</t>
  </si>
  <si>
    <t xml:space="preserve">patrimonio_jub_hoy</t>
  </si>
  <si>
    <t xml:space="preserve">ingreso_mes_jub</t>
  </si>
  <si>
    <t xml:space="preserve">dura_sin</t>
  </si>
  <si>
    <t xml:space="preserve">dura_con</t>
  </si>
  <si>
    <t xml:space="preserve">dura_max</t>
  </si>
  <si>
    <t xml:space="preserve">patrimonio_jub_con</t>
  </si>
  <si>
    <t xml:space="preserve">libertad_jub</t>
  </si>
  <si>
    <t xml:space="preserve">libertad_jub_con</t>
  </si>
  <si>
    <t xml:space="preserve">viajes_aportacion</t>
  </si>
  <si>
    <t xml:space="preserve">viajes_anio</t>
  </si>
  <si>
    <t xml:space="preserve">viajes_saldo_fin_anio</t>
  </si>
  <si>
    <t xml:space="preserve">viajes_aviso</t>
  </si>
  <si>
    <t xml:space="preserve">decisiones_texto</t>
  </si>
  <si>
    <t xml:space="preserve">## MESES</t>
  </si>
  <si>
    <t xml:space="preserve">mes</t>
  </si>
  <si>
    <t xml:space="preserve">ingresos</t>
  </si>
  <si>
    <t xml:space="preserve">gastos</t>
  </si>
  <si>
    <t xml:space="preserve">ahorro</t>
  </si>
  <si>
    <t xml:space="preserve">completo</t>
  </si>
  <si>
    <t xml:space="preserve">g_Casa</t>
  </si>
  <si>
    <t xml:space="preserve">g_Comida</t>
  </si>
  <si>
    <t xml:space="preserve">g_Transporte</t>
  </si>
  <si>
    <t xml:space="preserve">g_Salud</t>
  </si>
  <si>
    <t xml:space="preserve">g_Seguros</t>
  </si>
  <si>
    <t xml:space="preserve">g_Personal</t>
  </si>
  <si>
    <t xml:space="preserve">g_Ocio</t>
  </si>
  <si>
    <t xml:space="preserve">g_Viajes</t>
  </si>
  <si>
    <t xml:space="preserve">g_Efectivo</t>
  </si>
  <si>
    <t xml:space="preserve">g_Otros</t>
  </si>
  <si>
    <t xml:space="preserve">## CASA</t>
  </si>
  <si>
    <t xml:space="preserve">concepto</t>
  </si>
  <si>
    <t xml:space="preserve">media</t>
  </si>
  <si>
    <t xml:space="preserve">total12</t>
  </si>
  <si>
    <t xml:space="preserve">ultimo</t>
  </si>
  <si>
    <t xml:space="preserve">## CASA_MESES</t>
  </si>
  <si>
    <t xml:space="preserve">## PROYECCION</t>
  </si>
  <si>
    <t xml:space="preserve">liquido</t>
  </si>
  <si>
    <t xml:space="preserve">liquido_con</t>
  </si>
  <si>
    <t xml:space="preserve">con_inmuebles</t>
  </si>
  <si>
    <t xml:space="preserve">con_inmuebles_con</t>
  </si>
  <si>
    <t xml:space="preserve">libertad_con</t>
  </si>
  <si>
    <t xml:space="preserve">## JUBILACION</t>
  </si>
  <si>
    <t xml:space="preserve">capital</t>
  </si>
  <si>
    <t xml:space="preserve">capital_con</t>
  </si>
  <si>
    <t xml:space="preserve">pension_rentas</t>
  </si>
  <si>
    <t xml:space="preserve">## HITOS</t>
  </si>
  <si>
    <t xml:space="preserve">hito</t>
  </si>
  <si>
    <t xml:space="preserve">meta</t>
  </si>
  <si>
    <t xml:space="preserve">hoy</t>
  </si>
  <si>
    <t xml:space="preserve">pct</t>
  </si>
  <si>
    <t xml:space="preserve">anio</t>
  </si>
  <si>
    <t xml:space="preserve">estado</t>
  </si>
  <si>
    <t xml:space="preserve">formato</t>
  </si>
  <si>
    <t xml:space="preserve">eur</t>
  </si>
  <si>
    <t xml:space="preserve">num</t>
  </si>
  <si>
    <t xml:space="preserve">## VIAJES</t>
  </si>
  <si>
    <t xml:space="preserve">viaje</t>
  </si>
  <si>
    <t xml:space="preserve">fecha</t>
  </si>
  <si>
    <t xml:space="preserve">tu_parte</t>
  </si>
  <si>
    <t xml:space="preserve">pagado_con</t>
  </si>
  <si>
    <t xml:space="preserve">saldo_tras</t>
  </si>
  <si>
    <t xml:space="preserve">llega</t>
  </si>
  <si>
    <t xml:space="preserve">## VIAJES_ESCENARIOS</t>
  </si>
  <si>
    <t xml:space="preserve">ahora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</si>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</sst>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&quot; €&quot;"/>
    <numFmt numFmtId="166" formatCode="0%"/>
    <numFmt numFmtId="167" formatCode="0"/>
    <numFmt numFmtId="168" formatCode="#,##0&quot; €&quot;;\-#,##0&quot; €&quot;;\–"/>
    <numFmt numFmtId="169" formatCode="#,##0"/>
    <numFmt numFmtId="170" formatCode="mmm\ yyyy"/>
    <numFmt numFmtId="171" formatCode="dd/mm/yyyy"/>
    <numFmt numFmtId="172" formatCode="#,##0.00&quot; €&quot;"/>
    <numFmt numFmtId="173" formatCode="mmm\ yy"/>
    <numFmt numFmtId="174" formatCode="0.0%"/>
    <numFmt numFmtId="175" formatCode="0.00%"/>
    <numFmt numFmtId="176" formatCode="yyyy\-mm\-dd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16"/>
      <color rgb="FF1F3A4D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sz val="10"/>
      <color rgb="FF2E7D32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8A6D00"/>
      <name val="Arial"/>
      <family val="0"/>
      <charset val="1"/>
    </font>
    <font>
      <b val="true"/>
      <sz val="9"/>
      <color rgb="FF8A6D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1565C0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1F3A4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666666"/>
      <name val="Arial"/>
      <family val="0"/>
      <charset val="1"/>
    </font>
    <font>
      <sz val="7"/>
      <color rgb="FFAAAAAA"/>
      <name val="Arial"/>
      <family val="0"/>
      <charset val="1"/>
    </font>
    <font>
      <sz val="8"/>
      <color rgb="FFAAAAA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12"/>
      <color rgb="FF1F3A4D"/>
      <name val="Arial"/>
      <family val="0"/>
      <charset val="1"/>
    </font>
    <font>
      <b val="true"/>
      <sz val="10"/>
      <color rgb="FF8A6D00"/>
      <name val="Arial"/>
      <family val="0"/>
      <charset val="1"/>
    </font>
    <font>
      <sz val="8"/>
      <color rgb="FF555555"/>
      <name val="Arial"/>
      <family val="0"/>
      <charset val="1"/>
    </font>
    <font>
      <sz val="11"/>
      <color rgb="FF888888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1F3A4D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8EEF2"/>
        <bgColor rgb="FFF2F2F2"/>
      </patternFill>
    </fill>
    <fill>
      <patternFill patternType="solid">
        <fgColor rgb="FFFFF7D6"/>
        <bgColor rgb="FFF2F2F2"/>
      </patternFill>
    </fill>
    <fill>
      <patternFill patternType="solid">
        <fgColor rgb="FFF2F2F2"/>
        <bgColor rgb="FFE8EE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FFF3B0"/>
        </patternFill>
      </fill>
    </dxf>
    <dxf>
      <fill>
        <patternFill patternType="solid">
          <fgColor rgb="FF1F3A4D"/>
          <bgColor rgb="FF000000"/>
        </patternFill>
      </fill>
    </dxf>
    <dxf>
      <fill>
        <patternFill patternType="solid">
          <fgColor rgb="FFFFF3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2E7D32"/>
      <rgbColor rgb="FFAAAAAA"/>
      <rgbColor rgb="FF878787"/>
      <rgbColor rgb="FF93A9CE"/>
      <rgbColor rgb="FFAB4744"/>
      <rgbColor rgb="FFFFF7D6"/>
      <rgbColor rgb="FFE8EEF2"/>
      <rgbColor rgb="FF660066"/>
      <rgbColor rgb="FFDC853E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00CCFF"/>
      <rgbColor rgb="FFF2F2F2"/>
      <rgbColor rgb="FFCCFFCC"/>
      <rgbColor rgb="FFFFF3B0"/>
      <rgbColor rgb="FF8AA64F"/>
      <rgbColor rgb="FFD09493"/>
      <rgbColor rgb="FFCC99FF"/>
      <rgbColor rgb="FFFDE2E1"/>
      <rgbColor rgb="FF4A7EBB"/>
      <rgbColor rgb="FF4F81BD"/>
      <rgbColor rgb="FF9BBB59"/>
      <rgbColor rgb="FFFFCC00"/>
      <rgbColor rgb="FFFF9900"/>
      <rgbColor rgb="FFC0504D"/>
      <rgbColor rgb="FF725990"/>
      <rgbColor rgb="FF888888"/>
      <rgbColor rgb="FF003366"/>
      <rgbColor rgb="FF4299B0"/>
      <rgbColor rgb="FF003300"/>
      <rgbColor rgb="FF666666"/>
      <rgbColor rgb="FFC62828"/>
      <rgbColor rgb="FFBE4B48"/>
      <rgbColor rgb="FF555555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 patrimonio líquido por edad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PROYECCIÓN!D14</c:f>
              <c:strCache>
                <c:ptCount val="1"/>
                <c:pt idx="0">
                  <c:v>Efectivo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PROYECCIÓN!$D$15:$D$41</c:f>
              <c:numCache>
                <c:formatCode>#,##0" €"</c:formatCode>
                <c:ptCount val="27"/>
                <c:pt idx="0">
                  <c:v>67957.06</c:v>
                </c:pt>
                <c:pt idx="1">
                  <c:v>80085.38</c:v>
                </c:pt>
                <c:pt idx="2">
                  <c:v>92520.6053604083</c:v>
                </c:pt>
                <c:pt idx="3">
                  <c:v>105269.2585726</c:v>
                </c:pt>
                <c:pt idx="4">
                  <c:v>118337.994874229</c:v>
                </c:pt>
                <c:pt idx="5">
                  <c:v>131733.604917869</c:v>
                </c:pt>
                <c:pt idx="6">
                  <c:v>145463.01749312</c:v>
                </c:pt>
                <c:pt idx="7">
                  <c:v>159533.302303227</c:v>
                </c:pt>
                <c:pt idx="8">
                  <c:v>173951.672797323</c:v>
                </c:pt>
                <c:pt idx="9">
                  <c:v>188725.489059398</c:v>
                </c:pt>
                <c:pt idx="10">
                  <c:v>203862.260755129</c:v>
                </c:pt>
                <c:pt idx="11">
                  <c:v>219369.650137735</c:v>
                </c:pt>
                <c:pt idx="12">
                  <c:v>235255.475114027</c:v>
                </c:pt>
                <c:pt idx="13">
                  <c:v>251527.712371878</c:v>
                </c:pt>
                <c:pt idx="14">
                  <c:v>268194.500570308</c:v>
                </c:pt>
                <c:pt idx="15">
                  <c:v>285264.14359348</c:v>
                </c:pt>
                <c:pt idx="16">
                  <c:v>302745.113869845</c:v>
                </c:pt>
                <c:pt idx="17">
                  <c:v>320646.055757767</c:v>
                </c:pt>
                <c:pt idx="18">
                  <c:v>338975.788998942</c:v>
                </c:pt>
                <c:pt idx="19">
                  <c:v>357743.312240983</c:v>
                </c:pt>
                <c:pt idx="20">
                  <c:v>376957.806630537</c:v>
                </c:pt>
                <c:pt idx="21">
                  <c:v>396628.639478358</c:v>
                </c:pt>
                <c:pt idx="22">
                  <c:v>416765.367997772</c:v>
                </c:pt>
                <c:pt idx="23">
                  <c:v>437377.743117999</c:v>
                </c:pt>
                <c:pt idx="24">
                  <c:v>458475.713373837</c:v>
                </c:pt>
                <c:pt idx="25">
                  <c:v>480069.428873229</c:v>
                </c:pt>
                <c:pt idx="26">
                  <c:v>502169.24534427</c:v>
                </c:pt>
              </c:numCache>
            </c:numRef>
          </c:val>
        </c:ser>
        <c:ser>
          <c:idx val="1"/>
          <c:order val="1"/>
          <c:tx>
            <c:strRef>
              <c:f>PROYECCIÓN!E14</c:f>
              <c:strCache>
                <c:ptCount val="1"/>
                <c:pt idx="0">
                  <c:v>Inversión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PROYECCIÓN!$E$15:$E$41</c:f>
              <c:numCache>
                <c:formatCode>#,##0" €"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ser>
          <c:idx val="2"/>
          <c:order val="2"/>
          <c:tx>
            <c:strRef>
              <c:f>PROYECCIÓN!F14</c:f>
              <c:strCache>
                <c:ptCount val="1"/>
                <c:pt idx="0">
                  <c:v>Pensiones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PROYECCIÓN!$F$15:$F$41</c:f>
              <c:numCache>
                <c:formatCode>#,##0" €"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</c:ser>
        <c:axId val="74331056"/>
        <c:axId val="7435628"/>
      </c:areaChart>
      <c:catAx>
        <c:axId val="743310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5628"/>
        <c:crosses val="autoZero"/>
        <c:auto val="1"/>
        <c:lblAlgn val="ctr"/>
        <c:lblOffset val="100"/>
        <c:noMultiLvlLbl val="0"/>
      </c:catAx>
      <c:valAx>
        <c:axId val="7435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310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Patrimonio con inmuebles: sin vs con tus decisiones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PROYECCIÓN!T14</c:f>
              <c:strCache>
                <c:ptCount val="1"/>
                <c:pt idx="0">
                  <c:v>Total con inmuebles (sin decisiones)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PROYECCIÓN!$T$15:$T$41</c:f>
              <c:numCache>
                <c:formatCode>#,##0" €"</c:formatCode>
                <c:ptCount val="27"/>
                <c:pt idx="0">
                  <c:v>67957.06</c:v>
                </c:pt>
                <c:pt idx="1">
                  <c:v>80085.38</c:v>
                </c:pt>
                <c:pt idx="2">
                  <c:v>92520.6053604083</c:v>
                </c:pt>
                <c:pt idx="3">
                  <c:v>105269.2585726</c:v>
                </c:pt>
                <c:pt idx="4">
                  <c:v>118337.994874229</c:v>
                </c:pt>
                <c:pt idx="5">
                  <c:v>131733.604917869</c:v>
                </c:pt>
                <c:pt idx="6">
                  <c:v>145463.01749312</c:v>
                </c:pt>
                <c:pt idx="7">
                  <c:v>159533.302303227</c:v>
                </c:pt>
                <c:pt idx="8">
                  <c:v>173951.672797323</c:v>
                </c:pt>
                <c:pt idx="9">
                  <c:v>188725.489059398</c:v>
                </c:pt>
                <c:pt idx="10">
                  <c:v>203862.260755129</c:v>
                </c:pt>
                <c:pt idx="11">
                  <c:v>219369.650137735</c:v>
                </c:pt>
                <c:pt idx="12">
                  <c:v>235255.475114027</c:v>
                </c:pt>
                <c:pt idx="13">
                  <c:v>251527.712371878</c:v>
                </c:pt>
                <c:pt idx="14">
                  <c:v>268194.500570308</c:v>
                </c:pt>
                <c:pt idx="15">
                  <c:v>285264.14359348</c:v>
                </c:pt>
                <c:pt idx="16">
                  <c:v>302745.113869845</c:v>
                </c:pt>
                <c:pt idx="17">
                  <c:v>320646.055757767</c:v>
                </c:pt>
                <c:pt idx="18">
                  <c:v>338975.788998942</c:v>
                </c:pt>
                <c:pt idx="19">
                  <c:v>357743.312240983</c:v>
                </c:pt>
                <c:pt idx="20">
                  <c:v>376957.806630537</c:v>
                </c:pt>
                <c:pt idx="21">
                  <c:v>396628.639478358</c:v>
                </c:pt>
                <c:pt idx="22">
                  <c:v>416765.367997772</c:v>
                </c:pt>
                <c:pt idx="23">
                  <c:v>437377.743117999</c:v>
                </c:pt>
                <c:pt idx="24">
                  <c:v>458475.713373837</c:v>
                </c:pt>
                <c:pt idx="25">
                  <c:v>480069.428873229</c:v>
                </c:pt>
                <c:pt idx="26">
                  <c:v>502169.24534427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PROYECCIÓN!U14</c:f>
              <c:strCache>
                <c:ptCount val="1"/>
                <c:pt idx="0">
                  <c:v>Total con inmuebles (con decisiones)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PROYECCIÓN!$U$15:$U$41</c:f>
              <c:numCache>
                <c:formatCode>#,##0" €"</c:formatCode>
                <c:ptCount val="27"/>
                <c:pt idx="0">
                  <c:v>51857.06</c:v>
                </c:pt>
                <c:pt idx="1">
                  <c:v>73104.6858349719</c:v>
                </c:pt>
                <c:pt idx="2">
                  <c:v>95141.3520389348</c:v>
                </c:pt>
                <c:pt idx="3">
                  <c:v>117997.229171935</c:v>
                </c:pt>
                <c:pt idx="4">
                  <c:v>141703.758365873</c:v>
                </c:pt>
                <c:pt idx="5">
                  <c:v>166293.708784793</c:v>
                </c:pt>
                <c:pt idx="6">
                  <c:v>191801.237796408</c:v>
                </c:pt>
                <c:pt idx="7">
                  <c:v>218261.95398589</c:v>
                </c:pt>
                <c:pt idx="8">
                  <c:v>245712.983149396</c:v>
                </c:pt>
                <c:pt idx="9">
                  <c:v>274193.037411524</c:v>
                </c:pt>
                <c:pt idx="10">
                  <c:v>303742.487617976</c:v>
                </c:pt>
                <c:pt idx="11">
                  <c:v>334403.439162112</c:v>
                </c:pt>
                <c:pt idx="12">
                  <c:v>366219.81141188</c:v>
                </c:pt>
                <c:pt idx="13">
                  <c:v>399237.420911772</c:v>
                </c:pt>
                <c:pt idx="14">
                  <c:v>433504.068543031</c:v>
                </c:pt>
                <c:pt idx="15">
                  <c:v>469069.630834339</c:v>
                </c:pt>
                <c:pt idx="16">
                  <c:v>505986.155624665</c:v>
                </c:pt>
                <c:pt idx="17">
                  <c:v>544307.962289846</c:v>
                </c:pt>
                <c:pt idx="18">
                  <c:v>584091.746754912</c:v>
                </c:pt>
                <c:pt idx="19">
                  <c:v>625396.691525048</c:v>
                </c:pt>
                <c:pt idx="20">
                  <c:v>668284.580979566</c:v>
                </c:pt>
                <c:pt idx="21">
                  <c:v>712819.922185297</c:v>
                </c:pt>
                <c:pt idx="22">
                  <c:v>759070.071498393</c:v>
                </c:pt>
                <c:pt idx="23">
                  <c:v>807105.367236837</c:v>
                </c:pt>
                <c:pt idx="24">
                  <c:v>856999.2687198</c:v>
                </c:pt>
                <c:pt idx="25">
                  <c:v>908828.501984628</c:v>
                </c:pt>
                <c:pt idx="26">
                  <c:v>962536.634768719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752804"/>
        <c:axId val="40979972"/>
      </c:lineChart>
      <c:catAx>
        <c:axId val="467528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79972"/>
        <c:crosses val="autoZero"/>
        <c:auto val="1"/>
        <c:lblAlgn val="ctr"/>
        <c:lblOffset val="100"/>
        <c:noMultiLvlLbl val="0"/>
      </c:catAx>
      <c:valAx>
        <c:axId val="40979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52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 dónde sale tu dinero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PROYECCIÓN!I14</c:f>
              <c:strCache>
                <c:ptCount val="1"/>
                <c:pt idx="0">
                  <c:v>Lo que tenías hoy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PROYECCIÓN!$I$15:$I$41</c:f>
              <c:numCache>
                <c:formatCode>#,##0" €"</c:formatCode>
                <c:ptCount val="27"/>
                <c:pt idx="0">
                  <c:v>67957.06</c:v>
                </c:pt>
                <c:pt idx="1">
                  <c:v>67957.06</c:v>
                </c:pt>
                <c:pt idx="2">
                  <c:v>67957.06</c:v>
                </c:pt>
                <c:pt idx="3">
                  <c:v>67957.06</c:v>
                </c:pt>
                <c:pt idx="4">
                  <c:v>67957.06</c:v>
                </c:pt>
                <c:pt idx="5">
                  <c:v>67957.06</c:v>
                </c:pt>
                <c:pt idx="6">
                  <c:v>67957.06</c:v>
                </c:pt>
                <c:pt idx="7">
                  <c:v>67957.06</c:v>
                </c:pt>
                <c:pt idx="8">
                  <c:v>67957.06</c:v>
                </c:pt>
                <c:pt idx="9">
                  <c:v>67957.06</c:v>
                </c:pt>
                <c:pt idx="10">
                  <c:v>67957.06</c:v>
                </c:pt>
                <c:pt idx="11">
                  <c:v>67957.06</c:v>
                </c:pt>
                <c:pt idx="12">
                  <c:v>67957.06</c:v>
                </c:pt>
                <c:pt idx="13">
                  <c:v>67957.06</c:v>
                </c:pt>
                <c:pt idx="14">
                  <c:v>67957.06</c:v>
                </c:pt>
                <c:pt idx="15">
                  <c:v>67957.06</c:v>
                </c:pt>
                <c:pt idx="16">
                  <c:v>67957.06</c:v>
                </c:pt>
                <c:pt idx="17">
                  <c:v>67957.06</c:v>
                </c:pt>
                <c:pt idx="18">
                  <c:v>67957.06</c:v>
                </c:pt>
                <c:pt idx="19">
                  <c:v>67957.06</c:v>
                </c:pt>
                <c:pt idx="20">
                  <c:v>67957.06</c:v>
                </c:pt>
                <c:pt idx="21">
                  <c:v>67957.06</c:v>
                </c:pt>
                <c:pt idx="22">
                  <c:v>67957.06</c:v>
                </c:pt>
                <c:pt idx="23">
                  <c:v>67957.06</c:v>
                </c:pt>
                <c:pt idx="24">
                  <c:v>67957.06</c:v>
                </c:pt>
                <c:pt idx="25">
                  <c:v>67957.06</c:v>
                </c:pt>
                <c:pt idx="26">
                  <c:v>67957.06</c:v>
                </c:pt>
              </c:numCache>
            </c:numRef>
          </c:val>
        </c:ser>
        <c:ser>
          <c:idx val="1"/>
          <c:order val="1"/>
          <c:tx>
            <c:strRef>
              <c:f>PROYECCIÓN!J14</c:f>
              <c:strCache>
                <c:ptCount val="1"/>
                <c:pt idx="0">
                  <c:v>Lo que ahorras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PROYECCIÓN!$J$15:$J$41</c:f>
              <c:numCache>
                <c:formatCode>#,##0" €"</c:formatCode>
                <c:ptCount val="27"/>
                <c:pt idx="0">
                  <c:v>0</c:v>
                </c:pt>
                <c:pt idx="1">
                  <c:v>11722.32</c:v>
                </c:pt>
                <c:pt idx="2">
                  <c:v>23679.0864</c:v>
                </c:pt>
                <c:pt idx="3">
                  <c:v>35874.988128</c:v>
                </c:pt>
                <c:pt idx="4">
                  <c:v>48314.80789056</c:v>
                </c:pt>
                <c:pt idx="5">
                  <c:v>61003.4240483712</c:v>
                </c:pt>
                <c:pt idx="6">
                  <c:v>73945.8125293386</c:v>
                </c:pt>
                <c:pt idx="7">
                  <c:v>87147.0487799254</c:v>
                </c:pt>
                <c:pt idx="8">
                  <c:v>100612.309755524</c:v>
                </c:pt>
                <c:pt idx="9">
                  <c:v>114346.875950634</c:v>
                </c:pt>
                <c:pt idx="10">
                  <c:v>128356.133469647</c:v>
                </c:pt>
                <c:pt idx="11">
                  <c:v>142645.57613904</c:v>
                </c:pt>
                <c:pt idx="12">
                  <c:v>157220.807661821</c:v>
                </c:pt>
                <c:pt idx="13">
                  <c:v>172087.543815057</c:v>
                </c:pt>
                <c:pt idx="14">
                  <c:v>187251.614691358</c:v>
                </c:pt>
                <c:pt idx="15">
                  <c:v>202718.966985186</c:v>
                </c:pt>
                <c:pt idx="16">
                  <c:v>218495.666324889</c:v>
                </c:pt>
                <c:pt idx="17">
                  <c:v>234587.899651387</c:v>
                </c:pt>
                <c:pt idx="18">
                  <c:v>251001.977644415</c:v>
                </c:pt>
                <c:pt idx="19">
                  <c:v>267744.337197303</c:v>
                </c:pt>
                <c:pt idx="20">
                  <c:v>284821.543941249</c:v>
                </c:pt>
                <c:pt idx="21">
                  <c:v>302240.294820074</c:v>
                </c:pt>
                <c:pt idx="22">
                  <c:v>320007.420716476</c:v>
                </c:pt>
                <c:pt idx="23">
                  <c:v>338129.889130805</c:v>
                </c:pt>
                <c:pt idx="24">
                  <c:v>356614.806913421</c:v>
                </c:pt>
                <c:pt idx="25">
                  <c:v>375469.42305169</c:v>
                </c:pt>
                <c:pt idx="26">
                  <c:v>394701.131512724</c:v>
                </c:pt>
              </c:numCache>
            </c:numRef>
          </c:val>
        </c:ser>
        <c:ser>
          <c:idx val="2"/>
          <c:order val="2"/>
          <c:tx>
            <c:strRef>
              <c:f>PROYECCIÓN!K14</c:f>
              <c:strCache>
                <c:ptCount val="1"/>
                <c:pt idx="0">
                  <c:v>Lo que generan tus inversiones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PROYECCIÓN!$K$15:$K$41</c:f>
              <c:numCache>
                <c:formatCode>#,##0" €"</c:formatCode>
                <c:ptCount val="27"/>
                <c:pt idx="0">
                  <c:v>0</c:v>
                </c:pt>
                <c:pt idx="1">
                  <c:v>406.000000000005</c:v>
                </c:pt>
                <c:pt idx="2">
                  <c:v>884.458960408254</c:v>
                </c:pt>
                <c:pt idx="3">
                  <c:v>1437.21044460027</c:v>
                </c:pt>
                <c:pt idx="4">
                  <c:v>2066.12698366884</c:v>
                </c:pt>
                <c:pt idx="5">
                  <c:v>2773.1208694982</c:v>
                </c:pt>
                <c:pt idx="6">
                  <c:v>3560.1449637815</c:v>
                </c:pt>
                <c:pt idx="7">
                  <c:v>4429.19352330139</c:v>
                </c:pt>
                <c:pt idx="8">
                  <c:v>5382.30304179897</c:v>
                </c:pt>
                <c:pt idx="9">
                  <c:v>6421.55310876352</c:v>
                </c:pt>
                <c:pt idx="10">
                  <c:v>7549.06728548212</c:v>
                </c:pt>
                <c:pt idx="11">
                  <c:v>8767.0139986946</c:v>
                </c:pt>
                <c:pt idx="12">
                  <c:v>10077.6074522066</c:v>
                </c:pt>
                <c:pt idx="13">
                  <c:v>11483.1085568203</c:v>
                </c:pt>
                <c:pt idx="14">
                  <c:v>12985.8258789496</c:v>
                </c:pt>
                <c:pt idx="15">
                  <c:v>14588.1166082947</c:v>
                </c:pt>
                <c:pt idx="16">
                  <c:v>16292.3875449561</c:v>
                </c:pt>
                <c:pt idx="17">
                  <c:v>18101.0961063794</c:v>
                </c:pt>
                <c:pt idx="18">
                  <c:v>20016.7513545266</c:v>
                </c:pt>
                <c:pt idx="19">
                  <c:v>22041.9150436794</c:v>
                </c:pt>
                <c:pt idx="20">
                  <c:v>24179.2026892874</c:v>
                </c:pt>
                <c:pt idx="21">
                  <c:v>26431.2846582837</c:v>
                </c:pt>
                <c:pt idx="22">
                  <c:v>28800.8872812961</c:v>
                </c:pt>
                <c:pt idx="23">
                  <c:v>31290.7939871939</c:v>
                </c:pt>
                <c:pt idx="24">
                  <c:v>33903.8464604161</c:v>
                </c:pt>
                <c:pt idx="25">
                  <c:v>36642.9458215389</c:v>
                </c:pt>
                <c:pt idx="26">
                  <c:v>39511.053831546</c:v>
                </c:pt>
              </c:numCache>
            </c:numRef>
          </c:val>
        </c:ser>
        <c:axId val="307186"/>
        <c:axId val="4331283"/>
      </c:areaChart>
      <c:catAx>
        <c:axId val="307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1283"/>
        <c:crosses val="autoZero"/>
        <c:auto val="1"/>
        <c:lblAlgn val="ctr"/>
        <c:lblOffset val="100"/>
        <c:noMultiLvlLbl val="0"/>
      </c:catAx>
      <c:valAx>
        <c:axId val="4331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1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Libertad financiera: % de tus gastos cubiertos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PROYECCIÓN!M14</c:f>
              <c:strCache>
                <c:ptCount val="1"/>
                <c:pt idx="0">
                  <c:v>% libertad financiera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PROYECCIÓN!$B$15:$B$41</c:f>
              <c:strCache>
                <c:ptCount val="27"/>
                <c:pt idx="0">
                  <c:v>41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48</c:v>
                </c:pt>
                <c:pt idx="8">
                  <c:v>49</c:v>
                </c:pt>
                <c:pt idx="9">
                  <c:v>50</c:v>
                </c:pt>
                <c:pt idx="10">
                  <c:v>51</c:v>
                </c:pt>
                <c:pt idx="11">
                  <c:v>52</c:v>
                </c:pt>
                <c:pt idx="12">
                  <c:v>53</c:v>
                </c:pt>
                <c:pt idx="13">
                  <c:v>54</c:v>
                </c:pt>
                <c:pt idx="14">
                  <c:v>55</c:v>
                </c:pt>
                <c:pt idx="15">
                  <c:v>56</c:v>
                </c:pt>
                <c:pt idx="16">
                  <c:v>57</c:v>
                </c:pt>
                <c:pt idx="17">
                  <c:v>58</c:v>
                </c:pt>
                <c:pt idx="18">
                  <c:v>59</c:v>
                </c:pt>
                <c:pt idx="19">
                  <c:v>60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</c:strCache>
            </c:strRef>
          </c:cat>
          <c:val>
            <c:numRef>
              <c:f>PROYECCIÓN!$M$15:$M$41</c:f>
              <c:numCache>
                <c:formatCode>0%</c:formatCode>
                <c:ptCount val="27"/>
                <c:pt idx="0">
                  <c:v>0.137241312108748</c:v>
                </c:pt>
                <c:pt idx="1">
                  <c:v>0.157790064920373</c:v>
                </c:pt>
                <c:pt idx="2">
                  <c:v>0.177844735770274</c:v>
                </c:pt>
                <c:pt idx="3">
                  <c:v>0.197415045191475</c:v>
                </c:pt>
                <c:pt idx="4">
                  <c:v>0.216510530607475</c:v>
                </c:pt>
                <c:pt idx="5">
                  <c:v>0.235140549744135</c:v>
                </c:pt>
                <c:pt idx="6">
                  <c:v>0.253314283978162</c:v>
                </c:pt>
                <c:pt idx="7">
                  <c:v>0.271040741623386</c:v>
                </c:pt>
                <c:pt idx="8">
                  <c:v>0.288328761155966</c:v>
                </c:pt>
                <c:pt idx="9">
                  <c:v>0.30518701437968</c:v>
                </c:pt>
                <c:pt idx="10">
                  <c:v>0.321624009532384</c:v>
                </c:pt>
                <c:pt idx="11">
                  <c:v>0.337648094334762</c:v>
                </c:pt>
                <c:pt idx="12">
                  <c:v>0.35326745898242</c:v>
                </c:pt>
                <c:pt idx="13">
                  <c:v>0.368490139082373</c:v>
                </c:pt>
                <c:pt idx="14">
                  <c:v>0.383324018534977</c:v>
                </c:pt>
                <c:pt idx="15">
                  <c:v>0.397776832362297</c:v>
                </c:pt>
                <c:pt idx="16">
                  <c:v>0.411856169483921</c:v>
                </c:pt>
                <c:pt idx="17">
                  <c:v>0.425569475441186</c:v>
                </c:pt>
                <c:pt idx="18">
                  <c:v>0.438924055070781</c:v>
                </c:pt>
                <c:pt idx="19">
                  <c:v>0.45192707512866</c:v>
                </c:pt>
                <c:pt idx="20">
                  <c:v>0.464585566865199</c:v>
                </c:pt>
                <c:pt idx="21">
                  <c:v>0.476906428552483</c:v>
                </c:pt>
                <c:pt idx="22">
                  <c:v>0.488896427964636</c:v>
                </c:pt>
                <c:pt idx="23">
                  <c:v>0.500562204812044</c:v>
                </c:pt>
                <c:pt idx="24">
                  <c:v>0.511910273130338</c:v>
                </c:pt>
                <c:pt idx="25">
                  <c:v>0.522947023624986</c:v>
                </c:pt>
                <c:pt idx="26">
                  <c:v>0.533678725972287</c:v>
                </c:pt>
              </c:numCache>
            </c:numRef>
          </c:val>
        </c:ser>
        <c:gapWidth val="150"/>
        <c:overlap val="0"/>
        <c:axId val="59732451"/>
        <c:axId val="2715244"/>
      </c:barChart>
      <c:catAx>
        <c:axId val="597324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15244"/>
        <c:crosses val="autoZero"/>
        <c:auto val="1"/>
        <c:lblAlgn val="ctr"/>
        <c:lblOffset val="100"/>
        <c:noMultiLvlLbl val="0"/>
      </c:catAx>
      <c:valAx>
        <c:axId val="2715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324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 capital en la jubilación: sin vs con decisiones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PROYECCIÓN!I49</c:f>
              <c:strCache>
                <c:ptCount val="1"/>
                <c:pt idx="0">
                  <c:v>Capital al acabar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PROYECCIÓN!$B$50:$B$80</c:f>
              <c:strCache>
                <c:ptCount val="31"/>
                <c:pt idx="0">
                  <c:v>67</c:v>
                </c:pt>
                <c:pt idx="1">
                  <c:v>68</c:v>
                </c:pt>
                <c:pt idx="2">
                  <c:v>69</c:v>
                </c:pt>
                <c:pt idx="3">
                  <c:v>70</c:v>
                </c:pt>
                <c:pt idx="4">
                  <c:v>71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75</c:v>
                </c:pt>
                <c:pt idx="9">
                  <c:v>76</c:v>
                </c:pt>
                <c:pt idx="10">
                  <c:v>77</c:v>
                </c:pt>
                <c:pt idx="11">
                  <c:v>78</c:v>
                </c:pt>
                <c:pt idx="12">
                  <c:v>79</c:v>
                </c:pt>
                <c:pt idx="13">
                  <c:v>80</c:v>
                </c:pt>
                <c:pt idx="14">
                  <c:v>81</c:v>
                </c:pt>
                <c:pt idx="15">
                  <c:v>82</c:v>
                </c:pt>
                <c:pt idx="16">
                  <c:v>83</c:v>
                </c:pt>
                <c:pt idx="17">
                  <c:v>84</c:v>
                </c:pt>
                <c:pt idx="18">
                  <c:v>85</c:v>
                </c:pt>
                <c:pt idx="19">
                  <c:v>86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92</c:v>
                </c:pt>
                <c:pt idx="26">
                  <c:v>93</c:v>
                </c:pt>
                <c:pt idx="27">
                  <c:v>94</c:v>
                </c:pt>
                <c:pt idx="28">
                  <c:v>95</c:v>
                </c:pt>
                <c:pt idx="29">
                  <c:v>96</c:v>
                </c:pt>
                <c:pt idx="30">
                  <c:v>97</c:v>
                </c:pt>
              </c:strCache>
            </c:strRef>
          </c:cat>
          <c:val>
            <c:numRef>
              <c:f>PROYECCIÓN!$I$50:$I$80</c:f>
              <c:numCache>
                <c:formatCode>#,##0" €"</c:formatCode>
                <c:ptCount val="31"/>
                <c:pt idx="0">
                  <c:v>512851.126563905</c:v>
                </c:pt>
                <c:pt idx="1">
                  <c:v>523743.884316612</c:v>
                </c:pt>
                <c:pt idx="2">
                  <c:v>534851.105400795</c:v>
                </c:pt>
                <c:pt idx="3">
                  <c:v>546176.415731371</c:v>
                </c:pt>
                <c:pt idx="4">
                  <c:v>557723.479801078</c:v>
                </c:pt>
                <c:pt idx="5">
                  <c:v>569496.00008282</c:v>
                </c:pt>
                <c:pt idx="6">
                  <c:v>581497.716370208</c:v>
                </c:pt>
                <c:pt idx="7">
                  <c:v>593732.405053339</c:v>
                </c:pt>
                <c:pt idx="8">
                  <c:v>606203.878326765</c:v>
                </c:pt>
                <c:pt idx="9">
                  <c:v>618915.983326439</c:v>
                </c:pt>
                <c:pt idx="10">
                  <c:v>631872.601192351</c:v>
                </c:pt>
                <c:pt idx="11">
                  <c:v>645077.646053393</c:v>
                </c:pt>
                <c:pt idx="12">
                  <c:v>658535.063930897</c:v>
                </c:pt>
                <c:pt idx="13">
                  <c:v>672248.831557125</c:v>
                </c:pt>
                <c:pt idx="14">
                  <c:v>686222.955104847</c:v>
                </c:pt>
                <c:pt idx="15">
                  <c:v>700461.468824026</c:v>
                </c:pt>
                <c:pt idx="16">
                  <c:v>714968.433581431</c:v>
                </c:pt>
                <c:pt idx="17">
                  <c:v>729747.935298875</c:v>
                </c:pt>
                <c:pt idx="18">
                  <c:v>744804.083285592</c:v>
                </c:pt>
                <c:pt idx="19">
                  <c:v>760141.008460105</c:v>
                </c:pt>
                <c:pt idx="20">
                  <c:v>775762.861456752</c:v>
                </c:pt>
                <c:pt idx="21">
                  <c:v>791673.810611869</c:v>
                </c:pt>
                <c:pt idx="22">
                  <c:v>807878.039824426</c:v>
                </c:pt>
                <c:pt idx="23">
                  <c:v>824379.746285713</c:v>
                </c:pt>
                <c:pt idx="24">
                  <c:v>841183.138072504</c:v>
                </c:pt>
                <c:pt idx="25">
                  <c:v>858292.431597854</c:v>
                </c:pt>
                <c:pt idx="26">
                  <c:v>875711.848913543</c:v>
                </c:pt>
                <c:pt idx="27">
                  <c:v>893445.614857897</c:v>
                </c:pt>
                <c:pt idx="28">
                  <c:v>911497.954042505</c:v>
                </c:pt>
                <c:pt idx="29">
                  <c:v>929873.087671124</c:v>
                </c:pt>
                <c:pt idx="30">
                  <c:v>948575.230183784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PROYECCIÓN!N49</c:f>
              <c:strCache>
                <c:ptCount val="1"/>
                <c:pt idx="0">
                  <c:v>Capital al acabar (con decisiones)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PROYECCIÓN!$B$50:$B$80</c:f>
              <c:strCache>
                <c:ptCount val="31"/>
                <c:pt idx="0">
                  <c:v>67</c:v>
                </c:pt>
                <c:pt idx="1">
                  <c:v>68</c:v>
                </c:pt>
                <c:pt idx="2">
                  <c:v>69</c:v>
                </c:pt>
                <c:pt idx="3">
                  <c:v>70</c:v>
                </c:pt>
                <c:pt idx="4">
                  <c:v>71</c:v>
                </c:pt>
                <c:pt idx="5">
                  <c:v>72</c:v>
                </c:pt>
                <c:pt idx="6">
                  <c:v>73</c:v>
                </c:pt>
                <c:pt idx="7">
                  <c:v>74</c:v>
                </c:pt>
                <c:pt idx="8">
                  <c:v>75</c:v>
                </c:pt>
                <c:pt idx="9">
                  <c:v>76</c:v>
                </c:pt>
                <c:pt idx="10">
                  <c:v>77</c:v>
                </c:pt>
                <c:pt idx="11">
                  <c:v>78</c:v>
                </c:pt>
                <c:pt idx="12">
                  <c:v>79</c:v>
                </c:pt>
                <c:pt idx="13">
                  <c:v>80</c:v>
                </c:pt>
                <c:pt idx="14">
                  <c:v>81</c:v>
                </c:pt>
                <c:pt idx="15">
                  <c:v>82</c:v>
                </c:pt>
                <c:pt idx="16">
                  <c:v>83</c:v>
                </c:pt>
                <c:pt idx="17">
                  <c:v>84</c:v>
                </c:pt>
                <c:pt idx="18">
                  <c:v>85</c:v>
                </c:pt>
                <c:pt idx="19">
                  <c:v>86</c:v>
                </c:pt>
                <c:pt idx="20">
                  <c:v>87</c:v>
                </c:pt>
                <c:pt idx="21">
                  <c:v>88</c:v>
                </c:pt>
                <c:pt idx="22">
                  <c:v>89</c:v>
                </c:pt>
                <c:pt idx="23">
                  <c:v>90</c:v>
                </c:pt>
                <c:pt idx="24">
                  <c:v>91</c:v>
                </c:pt>
                <c:pt idx="25">
                  <c:v>92</c:v>
                </c:pt>
                <c:pt idx="26">
                  <c:v>93</c:v>
                </c:pt>
                <c:pt idx="27">
                  <c:v>94</c:v>
                </c:pt>
                <c:pt idx="28">
                  <c:v>95</c:v>
                </c:pt>
                <c:pt idx="29">
                  <c:v>96</c:v>
                </c:pt>
                <c:pt idx="30">
                  <c:v>97</c:v>
                </c:pt>
              </c:strCache>
            </c:strRef>
          </c:cat>
          <c:val>
            <c:numRef>
              <c:f>PROYECCIÓN!$N$50:$N$80</c:f>
              <c:numCache>
                <c:formatCode>#,##0" €"</c:formatCode>
                <c:ptCount val="31"/>
                <c:pt idx="0">
                  <c:v>502729.152586345</c:v>
                </c:pt>
                <c:pt idx="1">
                  <c:v>517811.027163936</c:v>
                </c:pt>
                <c:pt idx="2">
                  <c:v>533345.357978854</c:v>
                </c:pt>
                <c:pt idx="3">
                  <c:v>549345.718718219</c:v>
                </c:pt>
                <c:pt idx="4">
                  <c:v>565826.090279766</c:v>
                </c:pt>
                <c:pt idx="5">
                  <c:v>582800.872988159</c:v>
                </c:pt>
                <c:pt idx="6">
                  <c:v>600284.899177804</c:v>
                </c:pt>
                <c:pt idx="7">
                  <c:v>618293.446153138</c:v>
                </c:pt>
                <c:pt idx="8">
                  <c:v>636842.249537732</c:v>
                </c:pt>
                <c:pt idx="9">
                  <c:v>655947.517023864</c:v>
                </c:pt>
                <c:pt idx="10">
                  <c:v>675625.94253458</c:v>
                </c:pt>
                <c:pt idx="11">
                  <c:v>695894.720810617</c:v>
                </c:pt>
                <c:pt idx="12">
                  <c:v>716771.562434936</c:v>
                </c:pt>
                <c:pt idx="13">
                  <c:v>738274.709307984</c:v>
                </c:pt>
                <c:pt idx="14">
                  <c:v>760422.950587223</c:v>
                </c:pt>
                <c:pt idx="15">
                  <c:v>783235.63910484</c:v>
                </c:pt>
                <c:pt idx="16">
                  <c:v>806732.708277985</c:v>
                </c:pt>
                <c:pt idx="17">
                  <c:v>830934.689526325</c:v>
                </c:pt>
                <c:pt idx="18">
                  <c:v>855862.730212115</c:v>
                </c:pt>
                <c:pt idx="19">
                  <c:v>881538.612118478</c:v>
                </c:pt>
                <c:pt idx="20">
                  <c:v>907984.770482033</c:v>
                </c:pt>
                <c:pt idx="21">
                  <c:v>935224.313596494</c:v>
                </c:pt>
                <c:pt idx="22">
                  <c:v>963281.043004388</c:v>
                </c:pt>
                <c:pt idx="23">
                  <c:v>992179.47429452</c:v>
                </c:pt>
                <c:pt idx="24">
                  <c:v>1021944.85852336</c:v>
                </c:pt>
                <c:pt idx="25">
                  <c:v>1052603.20427906</c:v>
                </c:pt>
                <c:pt idx="26">
                  <c:v>1084181.30040743</c:v>
                </c:pt>
                <c:pt idx="27">
                  <c:v>1116706.73941965</c:v>
                </c:pt>
                <c:pt idx="28">
                  <c:v>1150207.94160224</c:v>
                </c:pt>
                <c:pt idx="29">
                  <c:v>1184714.17985031</c:v>
                </c:pt>
                <c:pt idx="30">
                  <c:v>1220255.60524582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383018"/>
        <c:axId val="1612503"/>
      </c:lineChart>
      <c:catAx>
        <c:axId val="333830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2503"/>
        <c:crosses val="autoZero"/>
        <c:auto val="1"/>
        <c:lblAlgn val="ctr"/>
        <c:lblOffset val="100"/>
        <c:noMultiLvlLbl val="0"/>
      </c:catAx>
      <c:valAx>
        <c:axId val="1612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83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Gastos de casa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CASA!A5</c:f>
              <c:strCache>
                <c:ptCount val="1"/>
                <c:pt idx="0">
                  <c:v>Alquiler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CASA!$B$5:$M$5</c:f>
              <c:numCache>
                <c:formatCode>#,##0" €";\-#,##0" €";\–</c:formatCode>
                <c:ptCount val="12"/>
                <c:pt idx="0">
                  <c:v>850</c:v>
                </c:pt>
                <c:pt idx="1">
                  <c:v>850</c:v>
                </c:pt>
                <c:pt idx="2">
                  <c:v>850</c:v>
                </c:pt>
                <c:pt idx="3">
                  <c:v>850</c:v>
                </c:pt>
                <c:pt idx="4">
                  <c:v>850</c:v>
                </c:pt>
                <c:pt idx="5">
                  <c:v>850</c:v>
                </c:pt>
                <c:pt idx="6">
                  <c:v>850</c:v>
                </c:pt>
                <c:pt idx="7">
                  <c:v>850</c:v>
                </c:pt>
                <c:pt idx="8">
                  <c:v>850</c:v>
                </c:pt>
                <c:pt idx="9">
                  <c:v>850</c:v>
                </c:pt>
                <c:pt idx="10">
                  <c:v>850</c:v>
                </c:pt>
                <c:pt idx="11">
                  <c:v>850</c:v>
                </c:pt>
              </c:numCache>
            </c:numRef>
          </c:val>
        </c:ser>
        <c:ser>
          <c:idx val="1"/>
          <c:order val="1"/>
          <c:tx>
            <c:strRef>
              <c:f>CASA!A6</c:f>
              <c:strCache>
                <c:ptCount val="1"/>
                <c:pt idx="0">
                  <c:v>Comunidad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CASA!$B$6:$M$6</c:f>
              <c:numCache>
                <c:formatCode>#,##0" €";\-#,##0" €";\–</c:formatCode>
                <c:ptCount val="12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CASA!A7</c:f>
              <c:strCache>
                <c:ptCount val="1"/>
                <c:pt idx="0">
                  <c:v>Luz y gas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CASA!$B$7:$M$7</c:f>
              <c:numCache>
                <c:formatCode>#,##0" €";\-#,##0" €";\–</c:formatCode>
                <c:ptCount val="12"/>
                <c:pt idx="0">
                  <c:v>37.38</c:v>
                </c:pt>
                <c:pt idx="1">
                  <c:v>50.32</c:v>
                </c:pt>
                <c:pt idx="2">
                  <c:v>58.18</c:v>
                </c:pt>
                <c:pt idx="3">
                  <c:v>63.54</c:v>
                </c:pt>
                <c:pt idx="4">
                  <c:v>49.8</c:v>
                </c:pt>
                <c:pt idx="5">
                  <c:v>40.63</c:v>
                </c:pt>
                <c:pt idx="6">
                  <c:v>36.17</c:v>
                </c:pt>
                <c:pt idx="7">
                  <c:v>47.6</c:v>
                </c:pt>
                <c:pt idx="8">
                  <c:v>50.74</c:v>
                </c:pt>
                <c:pt idx="9">
                  <c:v>42.64</c:v>
                </c:pt>
                <c:pt idx="10">
                  <c:v>77.32</c:v>
                </c:pt>
                <c:pt idx="11">
                  <c:v>38.08</c:v>
                </c:pt>
              </c:numCache>
            </c:numRef>
          </c:val>
        </c:ser>
        <c:ser>
          <c:idx val="3"/>
          <c:order val="3"/>
          <c:tx>
            <c:strRef>
              <c:f>CASA!A8</c:f>
              <c:strCache>
                <c:ptCount val="1"/>
                <c:pt idx="0">
                  <c:v>Agua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CASA!$B$8:$M$8</c:f>
              <c:numCache>
                <c:formatCode>#,##0" €";\-#,##0" €";\–</c:formatCode>
                <c:ptCount val="12"/>
                <c:pt idx="0">
                  <c:v>36.52</c:v>
                </c:pt>
                <c:pt idx="1">
                  <c:v>-0</c:v>
                </c:pt>
                <c:pt idx="2">
                  <c:v>32.13</c:v>
                </c:pt>
                <c:pt idx="3">
                  <c:v>-0</c:v>
                </c:pt>
                <c:pt idx="4">
                  <c:v>37.59</c:v>
                </c:pt>
                <c:pt idx="5">
                  <c:v>-0</c:v>
                </c:pt>
                <c:pt idx="6">
                  <c:v>34</c:v>
                </c:pt>
                <c:pt idx="7">
                  <c:v>-0</c:v>
                </c:pt>
                <c:pt idx="8">
                  <c:v>35.69</c:v>
                </c:pt>
                <c:pt idx="9">
                  <c:v>-0</c:v>
                </c:pt>
                <c:pt idx="10">
                  <c:v>37.55</c:v>
                </c:pt>
                <c:pt idx="11">
                  <c:v>-0</c:v>
                </c:pt>
              </c:numCache>
            </c:numRef>
          </c:val>
        </c:ser>
        <c:ser>
          <c:idx val="4"/>
          <c:order val="4"/>
          <c:tx>
            <c:strRef>
              <c:f>CASA!A9</c:f>
              <c:strCache>
                <c:ptCount val="1"/>
                <c:pt idx="0">
                  <c:v>Internet y teléfono fijo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CASA!$B$9:$M$9</c:f>
              <c:numCache>
                <c:formatCode>#,##0" €";\-#,##0" €";\–</c:formatCode>
                <c:ptCount val="12"/>
                <c:pt idx="0">
                  <c:v>39.9</c:v>
                </c:pt>
                <c:pt idx="1">
                  <c:v>39.9</c:v>
                </c:pt>
                <c:pt idx="2">
                  <c:v>39.9</c:v>
                </c:pt>
                <c:pt idx="3">
                  <c:v>39.9</c:v>
                </c:pt>
                <c:pt idx="4">
                  <c:v>39.9</c:v>
                </c:pt>
                <c:pt idx="5">
                  <c:v>39.9</c:v>
                </c:pt>
                <c:pt idx="6">
                  <c:v>39.9</c:v>
                </c:pt>
                <c:pt idx="7">
                  <c:v>39.9</c:v>
                </c:pt>
                <c:pt idx="8">
                  <c:v>39.9</c:v>
                </c:pt>
                <c:pt idx="9">
                  <c:v>39.9</c:v>
                </c:pt>
                <c:pt idx="10">
                  <c:v>39.9</c:v>
                </c:pt>
                <c:pt idx="11">
                  <c:v>39.9</c:v>
                </c:pt>
              </c:numCache>
            </c:numRef>
          </c:val>
        </c:ser>
        <c:ser>
          <c:idx val="5"/>
          <c:order val="5"/>
          <c:tx>
            <c:strRef>
              <c:f>CASA!A10</c:f>
              <c:strCache>
                <c:ptCount val="1"/>
                <c:pt idx="0">
                  <c:v>IBI y tasas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CASA!$B$10:$M$10</c:f>
              <c:numCache>
                <c:formatCode>#,##0" €";\-#,##0" €";\–</c:formatCode>
                <c:ptCount val="12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6"/>
          <c:order val="6"/>
          <c:tx>
            <c:strRef>
              <c:f>CASA!A11</c:f>
              <c:strCache>
                <c:ptCount val="1"/>
                <c:pt idx="0">
                  <c:v>Seguro del hogar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CASA!$B$11:$M$11</c:f>
              <c:numCache>
                <c:formatCode>#,##0" €";\-#,##0" €";\–</c:formatCode>
                <c:ptCount val="12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148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7"/>
          <c:order val="7"/>
          <c:tx>
            <c:strRef>
              <c:f>CASA!A12</c:f>
              <c:strCache>
                <c:ptCount val="1"/>
                <c:pt idx="0">
                  <c:v>Mantenimiento del hogar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CASA!$B$4:$M$4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CASA!$B$12:$M$12</c:f>
              <c:numCache>
                <c:formatCode>#,##0" €";\-#,##0" €";\–</c:formatCode>
                <c:ptCount val="12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gapWidth val="150"/>
        <c:overlap val="100"/>
        <c:axId val="77559227"/>
        <c:axId val="73936986"/>
      </c:barChart>
      <c:catAx>
        <c:axId val="77559227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36986"/>
        <c:crosses val="autoZero"/>
        <c:auto val="1"/>
        <c:lblAlgn val="ctr"/>
        <c:lblOffset val="100"/>
        <c:noMultiLvlLbl val="0"/>
      </c:catAx>
      <c:valAx>
        <c:axId val="73936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9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Patrimonio ligado a la vivienda: comprar ya vs esperar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VIVIENDA!E45</c:f>
              <c:strCache>
                <c:ptCount val="1"/>
                <c:pt idx="0">
                  <c:v>A · Patrimonio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VIVIENDA!$A$46:$A$66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VIVIENDA!$E$46:$E$66</c:f>
              <c:numCache>
                <c:formatCode>#,##0" €"</c:formatCode>
                <c:ptCount val="21"/>
                <c:pt idx="0">
                  <c:v>38900</c:v>
                </c:pt>
                <c:pt idx="1">
                  <c:v>50507.189460354</c:v>
                </c:pt>
                <c:pt idx="2">
                  <c:v>62459.5331105597</c:v>
                </c:pt>
                <c:pt idx="3">
                  <c:v>74767.2956033518</c:v>
                </c:pt>
                <c:pt idx="4">
                  <c:v>87441.0468868687</c:v>
                </c:pt>
                <c:pt idx="5">
                  <c:v>100491.671285807</c:v>
                </c:pt>
                <c:pt idx="6">
                  <c:v>113930.376852727</c:v>
                </c:pt>
                <c:pt idx="7">
                  <c:v>127768.70499754</c:v>
                </c:pt>
                <c:pt idx="8">
                  <c:v>142018.540403475</c:v>
                </c:pt>
                <c:pt idx="9">
                  <c:v>156692.121238014</c:v>
                </c:pt>
                <c:pt idx="10">
                  <c:v>171802.049667608</c:v>
                </c:pt>
                <c:pt idx="11">
                  <c:v>187361.302685186</c:v>
                </c:pt>
                <c:pt idx="12">
                  <c:v>203383.243259771</c:v>
                </c:pt>
                <c:pt idx="13">
                  <c:v>219881.631817796</c:v>
                </c:pt>
                <c:pt idx="14">
                  <c:v>236870.638065969</c:v>
                </c:pt>
                <c:pt idx="15">
                  <c:v>254364.853165869</c:v>
                </c:pt>
                <c:pt idx="16">
                  <c:v>272379.302270724</c:v>
                </c:pt>
                <c:pt idx="17">
                  <c:v>290929.457435155</c:v>
                </c:pt>
                <c:pt idx="18">
                  <c:v>310031.250908976</c:v>
                </c:pt>
                <c:pt idx="19">
                  <c:v>329701.088826481</c:v>
                </c:pt>
                <c:pt idx="20">
                  <c:v>349955.865302987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VIVIENDA!H45</c:f>
              <c:strCache>
                <c:ptCount val="1"/>
                <c:pt idx="0">
                  <c:v>B · Patrimonio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VIVIENDA!$A$46:$A$66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VIVIENDA!$H$46:$H$66</c:f>
              <c:numCache>
                <c:formatCode>#,##0" €"</c:formatCode>
                <c:ptCount val="21"/>
                <c:pt idx="0">
                  <c:v>55000</c:v>
                </c:pt>
                <c:pt idx="1">
                  <c:v>57742.8836253821</c:v>
                </c:pt>
                <c:pt idx="2">
                  <c:v>60622.9114320332</c:v>
                </c:pt>
                <c:pt idx="3">
                  <c:v>46322.944229017</c:v>
                </c:pt>
                <c:pt idx="4">
                  <c:v>58170.5430917498</c:v>
                </c:pt>
                <c:pt idx="5">
                  <c:v>70355.6813190167</c:v>
                </c:pt>
                <c:pt idx="6">
                  <c:v>82887.6582850741</c:v>
                </c:pt>
                <c:pt idx="7">
                  <c:v>95776.0129924269</c:v>
                </c:pt>
                <c:pt idx="8">
                  <c:v>109030.529351434</c:v>
                </c:pt>
                <c:pt idx="9">
                  <c:v>122661.241524552</c:v>
                </c:pt>
                <c:pt idx="10">
                  <c:v>136678.439332532</c:v>
                </c:pt>
                <c:pt idx="11">
                  <c:v>151092.67371954</c:v>
                </c:pt>
                <c:pt idx="12">
                  <c:v>165914.762273885</c:v>
                </c:pt>
                <c:pt idx="13">
                  <c:v>181155.794800637</c:v>
                </c:pt>
                <c:pt idx="14">
                  <c:v>196827.13894208</c:v>
                </c:pt>
                <c:pt idx="15">
                  <c:v>212940.445841514</c:v>
                </c:pt>
                <c:pt idx="16">
                  <c:v>229507.655845508</c:v>
                </c:pt>
                <c:pt idx="17">
                  <c:v>246541.004239247</c:v>
                </c:pt>
                <c:pt idx="18">
                  <c:v>264053.027009129</c:v>
                </c:pt>
                <c:pt idx="19">
                  <c:v>282056.566626253</c:v>
                </c:pt>
                <c:pt idx="20">
                  <c:v>300564.777843901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881243"/>
        <c:axId val="6013477"/>
      </c:lineChart>
      <c:catAx>
        <c:axId val="408812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3477"/>
        <c:crosses val="autoZero"/>
        <c:auto val="1"/>
        <c:lblAlgn val="ctr"/>
        <c:lblOffset val="100"/>
        <c:noMultiLvlLbl val="0"/>
      </c:catAx>
      <c:valAx>
        <c:axId val="6013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812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44</xdr:row>
      <xdr:rowOff>37440</xdr:rowOff>
    </xdr:from>
    <xdr:to>
      <xdr:col>3</xdr:col>
      <xdr:colOff>810360</xdr:colOff>
      <xdr:row>58</xdr:row>
      <xdr:rowOff>70200</xdr:rowOff>
    </xdr:to>
    <xdr:graphicFrame>
      <xdr:nvGraphicFramePr>
        <xdr:cNvPr id="0" name="Chart 1"/>
        <xdr:cNvGraphicFramePr/>
      </xdr:nvGraphicFramePr>
      <xdr:xfrm>
        <a:off x="0" y="88963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44</xdr:row>
      <xdr:rowOff>37440</xdr:rowOff>
    </xdr:from>
    <xdr:to>
      <xdr:col>9</xdr:col>
      <xdr:colOff>176040</xdr:colOff>
      <xdr:row>58</xdr:row>
      <xdr:rowOff>70200</xdr:rowOff>
    </xdr:to>
    <xdr:graphicFrame>
      <xdr:nvGraphicFramePr>
        <xdr:cNvPr id="1" name="Chart 2"/>
        <xdr:cNvGraphicFramePr/>
      </xdr:nvGraphicFramePr>
      <xdr:xfrm>
        <a:off x="6061680" y="88963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60</xdr:row>
      <xdr:rowOff>37440</xdr:rowOff>
    </xdr:from>
    <xdr:to>
      <xdr:col>3</xdr:col>
      <xdr:colOff>810360</xdr:colOff>
      <xdr:row>74</xdr:row>
      <xdr:rowOff>70200</xdr:rowOff>
    </xdr:to>
    <xdr:graphicFrame>
      <xdr:nvGraphicFramePr>
        <xdr:cNvPr id="2" name="Chart 3"/>
        <xdr:cNvGraphicFramePr/>
      </xdr:nvGraphicFramePr>
      <xdr:xfrm>
        <a:off x="0" y="11944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60</xdr:row>
      <xdr:rowOff>37440</xdr:rowOff>
    </xdr:from>
    <xdr:to>
      <xdr:col>9</xdr:col>
      <xdr:colOff>176040</xdr:colOff>
      <xdr:row>74</xdr:row>
      <xdr:rowOff>70200</xdr:rowOff>
    </xdr:to>
    <xdr:graphicFrame>
      <xdr:nvGraphicFramePr>
        <xdr:cNvPr id="3" name="Chart 4"/>
        <xdr:cNvGraphicFramePr/>
      </xdr:nvGraphicFramePr>
      <xdr:xfrm>
        <a:off x="6061680" y="11944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76</xdr:row>
      <xdr:rowOff>37440</xdr:rowOff>
    </xdr:from>
    <xdr:to>
      <xdr:col>8</xdr:col>
      <xdr:colOff>744120</xdr:colOff>
      <xdr:row>90</xdr:row>
      <xdr:rowOff>69840</xdr:rowOff>
    </xdr:to>
    <xdr:graphicFrame>
      <xdr:nvGraphicFramePr>
        <xdr:cNvPr id="4" name="Chart 5"/>
        <xdr:cNvGraphicFramePr/>
      </xdr:nvGraphicFramePr>
      <xdr:xfrm>
        <a:off x="0" y="14992200"/>
        <a:ext cx="102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9</xdr:col>
      <xdr:colOff>448200</xdr:colOff>
      <xdr:row>32</xdr:row>
      <xdr:rowOff>21960</xdr:rowOff>
    </xdr:to>
    <xdr:graphicFrame>
      <xdr:nvGraphicFramePr>
        <xdr:cNvPr id="5" name="Chart 1"/>
        <xdr:cNvGraphicFramePr/>
      </xdr:nvGraphicFramePr>
      <xdr:xfrm>
        <a:off x="0" y="3429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4680</xdr:colOff>
      <xdr:row>18</xdr:row>
      <xdr:rowOff>22320</xdr:rowOff>
    </xdr:to>
    <xdr:graphicFrame>
      <xdr:nvGraphicFramePr>
        <xdr:cNvPr id="6" name="Chart 1"/>
        <xdr:cNvGraphicFramePr/>
      </xdr:nvGraphicFramePr>
      <xdr:xfrm>
        <a:off x="14074200" y="7621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6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5" t="s">
        <v>6</v>
      </c>
    </row>
    <row r="7" customFormat="false" ht="15" hidden="false" customHeight="false" outlineLevel="0" collapsed="false">
      <c r="A7" s="6" t="s">
        <v>7</v>
      </c>
      <c r="B7" s="5" t="s">
        <v>8</v>
      </c>
    </row>
    <row r="8" customFormat="false" ht="15" hidden="false" customHeight="false" outlineLevel="0" collapsed="false">
      <c r="A8" s="6" t="s">
        <v>9</v>
      </c>
      <c r="B8" s="5" t="s">
        <v>10</v>
      </c>
    </row>
    <row r="9" customFormat="false" ht="15" hidden="false" customHeight="false" outlineLevel="0" collapsed="false">
      <c r="A9" s="4"/>
      <c r="B9" s="5"/>
    </row>
    <row r="10" customFormat="false" ht="15" hidden="false" customHeight="false" outlineLevel="0" collapsed="false">
      <c r="A10" s="4" t="s">
        <v>11</v>
      </c>
      <c r="B10" s="5"/>
    </row>
    <row r="11" customFormat="false" ht="15" hidden="false" customHeight="false" outlineLevel="0" collapsed="false">
      <c r="A11" s="6" t="s">
        <v>12</v>
      </c>
      <c r="B11" s="5" t="s">
        <v>13</v>
      </c>
    </row>
    <row r="12" customFormat="false" ht="15" hidden="false" customHeight="false" outlineLevel="0" collapsed="false">
      <c r="A12" s="6" t="s">
        <v>14</v>
      </c>
      <c r="B12" s="5" t="s">
        <v>15</v>
      </c>
    </row>
    <row r="13" customFormat="false" ht="15" hidden="false" customHeight="false" outlineLevel="0" collapsed="false">
      <c r="A13" s="6" t="s">
        <v>16</v>
      </c>
      <c r="B13" s="5" t="s">
        <v>17</v>
      </c>
    </row>
    <row r="14" customFormat="false" ht="15" hidden="false" customHeight="false" outlineLevel="0" collapsed="false">
      <c r="A14" s="6" t="s">
        <v>18</v>
      </c>
      <c r="B14" s="5" t="s">
        <v>19</v>
      </c>
    </row>
    <row r="15" customFormat="false" ht="15" hidden="false" customHeight="false" outlineLevel="0" collapsed="false">
      <c r="A15" s="6" t="s">
        <v>20</v>
      </c>
      <c r="B15" s="5" t="s">
        <v>21</v>
      </c>
    </row>
    <row r="16" customFormat="false" ht="15" hidden="false" customHeight="false" outlineLevel="0" collapsed="false">
      <c r="A16" s="6" t="s">
        <v>22</v>
      </c>
      <c r="B16" s="5" t="s">
        <v>23</v>
      </c>
    </row>
    <row r="17" customFormat="false" ht="15" hidden="false" customHeight="false" outlineLevel="0" collapsed="false">
      <c r="A17" s="6" t="s">
        <v>24</v>
      </c>
      <c r="B17" s="5" t="s">
        <v>25</v>
      </c>
    </row>
    <row r="18" customFormat="false" ht="15" hidden="false" customHeight="false" outlineLevel="0" collapsed="false">
      <c r="A18" s="6" t="s">
        <v>26</v>
      </c>
      <c r="B18" s="5" t="s">
        <v>27</v>
      </c>
    </row>
    <row r="19" customFormat="false" ht="15" hidden="false" customHeight="false" outlineLevel="0" collapsed="false">
      <c r="A19" s="6" t="s">
        <v>28</v>
      </c>
      <c r="B19" s="5" t="s">
        <v>29</v>
      </c>
    </row>
    <row r="20" customFormat="false" ht="15" hidden="false" customHeight="false" outlineLevel="0" collapsed="false">
      <c r="A20" s="4"/>
      <c r="B20" s="5"/>
    </row>
    <row r="21" customFormat="false" ht="15" hidden="false" customHeight="false" outlineLevel="0" collapsed="false">
      <c r="A21" s="4" t="s">
        <v>30</v>
      </c>
      <c r="B21" s="5"/>
    </row>
    <row r="22" customFormat="false" ht="15" hidden="false" customHeight="false" outlineLevel="0" collapsed="false">
      <c r="A22" s="6" t="s">
        <v>31</v>
      </c>
      <c r="B22" s="5" t="s">
        <v>32</v>
      </c>
    </row>
    <row r="23" customFormat="false" ht="15" hidden="false" customHeight="false" outlineLevel="0" collapsed="false">
      <c r="A23" s="6" t="s">
        <v>33</v>
      </c>
      <c r="B23" s="5" t="s">
        <v>34</v>
      </c>
    </row>
    <row r="24" customFormat="false" ht="15" hidden="false" customHeight="false" outlineLevel="0" collapsed="false">
      <c r="A24" s="6" t="s">
        <v>35</v>
      </c>
      <c r="B24" s="5" t="s">
        <v>36</v>
      </c>
    </row>
    <row r="25" customFormat="false" ht="15" hidden="false" customHeight="false" outlineLevel="0" collapsed="false">
      <c r="A25" s="6" t="s">
        <v>37</v>
      </c>
      <c r="B25" s="5" t="s">
        <v>38</v>
      </c>
    </row>
    <row r="26" customFormat="false" ht="15" hidden="false" customHeight="false" outlineLevel="0" collapsed="false">
      <c r="A26" s="4"/>
      <c r="B26" s="5"/>
    </row>
    <row r="27" customFormat="false" ht="15" hidden="false" customHeight="false" outlineLevel="0" collapsed="false">
      <c r="A27" s="6" t="s">
        <v>39</v>
      </c>
      <c r="B27" s="5" t="s">
        <v>40</v>
      </c>
    </row>
    <row r="28" customFormat="false" ht="15" hidden="false" customHeight="false" outlineLevel="0" collapsed="false">
      <c r="A28" s="6" t="s">
        <v>41</v>
      </c>
      <c r="B28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43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7" t="str">
        <f aca="false">"Datos ficticios de ejemplo a "&amp;TEXT(PROYECCIÓN!$B$4,"mmmm yyyy")&amp;" · estimados: precio de la vivienda y pensión"</f>
        <v>Datos ficticios de ejemplo a September 2026 · estimados: precio de la vivienda y pensión</v>
      </c>
    </row>
    <row r="4" customFormat="false" ht="15" hidden="false" customHeight="false" outlineLevel="0" collapsed="false">
      <c r="A4" s="8" t="s">
        <v>44</v>
      </c>
      <c r="C4" s="8" t="s">
        <v>45</v>
      </c>
      <c r="E4" s="8" t="s">
        <v>46</v>
      </c>
      <c r="H4" s="8" t="str">
        <f aca="false">"CUENTA DE VIAJES · FIN DE "&amp;VIAJES!$B$7</f>
        <v>CUENTA DE VIAJES · FIN DE 2026</v>
      </c>
    </row>
    <row r="5" customFormat="false" ht="25.5" hidden="false" customHeight="true" outlineLevel="0" collapsed="false">
      <c r="A5" s="9" t="str">
        <f aca="false">INDEX(PARÁMETROS!$B$25:$B$31,MATCH(PROYECCIÓN!$M$15,PARÁMETROS!$A$25:$A$31,1))</f>
        <v>🛡️ Escudo</v>
      </c>
      <c r="C5" s="10" t="n">
        <f aca="false">PROYECCIÓN!$B$8</f>
        <v>67957.06</v>
      </c>
      <c r="E5" s="11" t="n">
        <f aca="false">PROYECCIÓN!$M$15</f>
        <v>0.137241312108748</v>
      </c>
      <c r="H5" s="10" t="n">
        <f aca="false">VIAJES!$B$10</f>
        <v>1900</v>
      </c>
    </row>
    <row r="6" customFormat="false" ht="15" hidden="false" customHeight="false" outlineLevel="0" collapsed="false">
      <c r="A6" s="12" t="str">
        <f aca="false">IFERROR(REPT("█",ROUND((PROYECCIÓN!$M$15-INDEX(PARÁMETROS!$A$25:$A$31,MATCH(PROYECCIÓN!$M$15,PARÁMETROS!$A$25:$A$31,1)))/(INDEX(PARÁMETROS!$A$25:$A$31,MATCH(PROYECCIÓN!$M$15,PARÁMETROS!$A$25:$A$31,1)+1)-INDEX(PARÁMETROS!$A$25:$A$31,MATCH(PROYECCIÓN!$M$15,PARÁMETROS!$A$25:$A$31,1)))*10,0))&amp;REPT("░",10-ROUND((PROYECCIÓN!$M$15-INDEX(PARÁMETROS!$A$25:$A$31,MATCH(PROYECCIÓN!$M$15,PARÁMETROS!$A$25:$A$31,1)))/(INDEX(PARÁMETROS!$A$25:$A$31,MATCH(PROYECCIÓN!$M$15,PARÁMETROS!$A$25:$A$31,1)+1)-INDEX(PARÁMETROS!$A$25:$A$31,MATCH(PROYECCIÓN!$M$15,PARÁMETROS!$A$25:$A$31,1)))*10,0)),"██████████")</f>
        <v>█████████░</v>
      </c>
      <c r="C6" s="7" t="str">
        <f aca="false">"Con tus inmuebles: "&amp;TEXT(PROYECCIÓN!$B$10,"#,##0")&amp;" €"</f>
        <v>Con tus inmuebles: 67,957 €</v>
      </c>
      <c r="E6" s="12" t="str">
        <f aca="false">REPT("█",ROUND(MIN(1,PROYECCIÓN!$M$15)*20,0))&amp;REPT("░",20-ROUND(MIN(1,PROYECCIÓN!$M$15)*20,0))</f>
        <v>███░░░░░░░░░░░░░░░░░</v>
      </c>
      <c r="H6" s="7" t="str">
        <f aca="false">"Aportas "&amp;TEXT(VIAJES!$B$4,"#,##0")&amp;" €/mes · "&amp;VIAJES!$B$11&amp;" viajes en "&amp;VIAJES!$B$7</f>
        <v>Aportas 150 €/mes · 2 viajes en 2026</v>
      </c>
    </row>
    <row r="7" customFormat="false" ht="15" hidden="false" customHeight="false" outlineLevel="0" collapsed="false">
      <c r="A7" s="13" t="str">
        <f aca="false">IFERROR("Siguiente: "&amp;INDEX(PARÁMETROS!$B$25:$B$31,MATCH(PROYECCIÓN!$M$15,PARÁMETROS!$A$25:$A$31,1)+1)&amp;" al "&amp;TEXT(INDEX(PARÁMETROS!$A$25:$A$31,MATCH(PROYECCIÓN!$M$15,PARÁMETROS!$A$25:$A$31,1)+1),"0%"),"Nivel máximo")</f>
        <v>Siguiente: 🧭 Brújula al 15%</v>
      </c>
      <c r="C7" s="13" t="str">
        <f aca="false">"CaixaBank "&amp;TEXT(INDEX('MIS DATOS'!$B$6:$B$245,COUNT('MIS DATOS'!$A$6:$A$245)),"#,##0")&amp;" · Openbank "&amp;TEXT(INDEX('MIS DATOS'!$C$6:$C$245,COUNT('MIS DATOS'!$A$6:$A$245)),"#,##0")&amp;" · ING "&amp;TEXT(INDEX('MIS DATOS'!$D$6:$D$245,COUNT('MIS DATOS'!$A$6:$A$245)),"#,##0")</f>
        <v>CaixaBank 10,501 · Openbank 1,450 · ING 56,006</v>
      </c>
      <c r="E7" s="13" t="str">
        <f aca="false">"Tu dinero cubre el "&amp;TEXT(PROYECCIÓN!$M$15,"0%")&amp;" de tus gastos (regla del "&amp;TEXT(PARÁMETROS!$B$16,"0%")&amp;")"</f>
        <v>Tu dinero cubre el 14% de tus gastos (regla del 4%)</v>
      </c>
      <c r="H7" s="14" t="str">
        <f aca="false">VIAJES!$B$12</f>
        <v>✅ Llega para todos los viajes apuntados</v>
      </c>
    </row>
    <row r="8" customFormat="false" ht="15" hidden="false" customHeight="false" outlineLevel="0" collapsed="false">
      <c r="A8" s="15" t="str">
        <f aca="false">"🏠 Casa: "&amp;TEXT(CASA!$O$13,"#,##0")&amp;" €/mes de media   ·   🧾 Por revisar: "&amp;COUNTIFS(MOVIMIENTOS!$H$4:$H$20000,"Por revisar",MOVIMIENTOS!$B$4:$B$20000,"&gt;="&amp;'MIS DATOS'!$A$6)&amp;" movimientos desde "&amp;TEXT('MIS DATOS'!$A$6,"mmmm yyyy")&amp;" (cuentan cuando les pongas categoría)"</f>
        <v>🏠 Casa: 969 €/mes de media   ·   🧾 Por revisar: 2 movimientos desde October 2025 (cuentan cuando les pongas categoría)</v>
      </c>
    </row>
    <row r="9" customFormat="false" ht="15" hidden="false" customHeight="false" outlineLevel="0" collapsed="false">
      <c r="A9" s="16" t="str">
        <f aca="false">"¿CUÁNTO TENDRÁS A LOS "&amp;PARÁMETROS!$B$5&amp;"?"</f>
        <v>¿CUÁNTO TENDRÁS A LOS 67?</v>
      </c>
      <c r="B9" s="17"/>
      <c r="C9" s="17"/>
      <c r="D9" s="17"/>
      <c r="E9" s="17"/>
      <c r="F9" s="17"/>
      <c r="G9" s="17"/>
      <c r="H9" s="17"/>
      <c r="I9" s="17"/>
    </row>
    <row r="10" customFormat="false" ht="15" hidden="false" customHeight="false" outlineLevel="0" collapsed="false">
      <c r="A10" s="8" t="s">
        <v>47</v>
      </c>
      <c r="C10" s="8" t="s">
        <v>48</v>
      </c>
      <c r="E10" s="8" t="s">
        <v>49</v>
      </c>
      <c r="G10" s="8" t="s">
        <v>50</v>
      </c>
      <c r="I10" s="8" t="s">
        <v>51</v>
      </c>
    </row>
    <row r="11" customFormat="false" ht="17.35" hidden="false" customHeight="false" outlineLevel="0" collapsed="false">
      <c r="A11" s="18" t="n">
        <f aca="false">INDEX(PROYECCIÓN!$G$15:$G$45,PROYECCIÓN!$B$11+1)</f>
        <v>502169.24534427</v>
      </c>
      <c r="C11" s="19" t="n">
        <f aca="false">INDEX(PROYECCIÓN!$I$15:$I$45,PROYECCIÓN!$B$11+1)+INDEX(PROYECCIÓN!$J$15:$J$45,PROYECCIÓN!$B$11+1)</f>
        <v>462658.191512724</v>
      </c>
      <c r="E11" s="20" t="n">
        <f aca="false">INDEX(PROYECCIÓN!$K$15:$K$45,PROYECCIÓN!$B$11+1)</f>
        <v>39511.053831546</v>
      </c>
      <c r="G11" s="18" t="n">
        <f aca="false">INDEX(PROYECCIÓN!$H$15:$H$45,PROYECCIÓN!$B$11+1)</f>
        <v>264258.892926386</v>
      </c>
      <c r="I11" s="18" t="n">
        <f aca="false">INDEX(PROYECCIÓN!$H$15:$H$45,PROYECCIÓN!$B$11+1)*PARÁMETROS!$B$16/12+PARÁMETROS!$B$17*14/12</f>
        <v>2339.19630975462</v>
      </c>
    </row>
    <row r="12" customFormat="false" ht="15" hidden="false" customHeight="false" outlineLevel="0" collapsed="false">
      <c r="A12" s="13" t="str">
        <f aca="false">"Por cada euro que pones, tus inversiones añaden "&amp;TEXT(E11/C11,"0.00")&amp;" €. El ingreso mensual suma la regla del "&amp;TEXT(PARÁMETROS!$B$16,"0%")&amp;" y una pensión pública de "&amp;TEXT(PARÁMETROS!$B$17,"#,##0")&amp;" € × 14 pagas (de hoy), repartida en 12 meses."</f>
        <v>Por cada euro que pones, tus inversiones añaden 0.09 €. El ingreso mensual suma la regla del 4% y una pensión pública de 1,250 € × 14 pagas (de hoy), repartida en 12 meses.</v>
      </c>
    </row>
    <row r="14" customFormat="false" ht="15" hidden="false" customHeight="false" outlineLevel="0" collapsed="false">
      <c r="A14" s="16" t="s">
        <v>52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8" t="s">
        <v>53</v>
      </c>
      <c r="C15" s="8" t="s">
        <v>54</v>
      </c>
      <c r="E15" s="8" t="s">
        <v>55</v>
      </c>
      <c r="G15" s="8" t="s">
        <v>56</v>
      </c>
    </row>
    <row r="16" customFormat="false" ht="17.35" hidden="false" customHeight="false" outlineLevel="0" collapsed="false">
      <c r="A16" s="21" t="str">
        <f aca="false">IF(PROYECCIÓN!$B$92&gt;=PARÁMETROS!$B$5+40,"Más allá de los "&amp;(PARÁMETROS!$B$5+40),"Hasta los "&amp;PROYECCIÓN!$B$92)</f>
        <v>Más allá de los 107</v>
      </c>
      <c r="C16" s="21" t="str">
        <f aca="false">IF(PROYECCIÓN!$B$93&gt;=PARÁMETROS!$B$5+40,"Más allá de los "&amp;(PARÁMETROS!$B$5+40),"Hasta los "&amp;PROYECCIÓN!$B$93)</f>
        <v>Más allá de los 107</v>
      </c>
      <c r="E16" s="18" t="n">
        <f aca="false">PROYECCIÓN!$H$50</f>
        <v>4383.19614069262</v>
      </c>
      <c r="G16" s="18" t="n">
        <f aca="false">PROYECCIÓN!$F$50+PROYECCIÓN!$G$50</f>
        <v>33255.1222636536</v>
      </c>
    </row>
    <row r="17" customFormat="false" ht="15" hidden="false" customHeight="false" outlineLevel="0" collapsed="false">
      <c r="A17" s="13" t="str">
        <f aca="false">"Cada año sacas lo que no cubren la pensión y las rentas; el capital renta un "&amp;TEXT(PARÁMETROS!$B$20,"0%")&amp;" y la pensión sube con la inflación. Con decisiones incluye la cuota si la hipoteca sigue viva."</f>
        <v>Cada año sacas lo que no cubren la pensión y las rentas; el capital renta un 3% y la pensión sube con la inflación. Con decisiones incluye la cuota si la hipoteca sigue viva.</v>
      </c>
    </row>
    <row r="19" customFormat="false" ht="15" hidden="false" customHeight="false" outlineLevel="0" collapsed="false">
      <c r="A19" s="16" t="s">
        <v>57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22" t="s">
        <v>58</v>
      </c>
      <c r="B20" s="22" t="s">
        <v>59</v>
      </c>
      <c r="C20" s="22" t="s">
        <v>60</v>
      </c>
      <c r="D20" s="22" t="s">
        <v>61</v>
      </c>
      <c r="E20" s="22" t="s">
        <v>62</v>
      </c>
      <c r="F20" s="22" t="s">
        <v>63</v>
      </c>
      <c r="G20" s="22" t="s">
        <v>64</v>
      </c>
      <c r="H20" s="22" t="s">
        <v>65</v>
      </c>
      <c r="I20" s="22" t="s">
        <v>66</v>
      </c>
    </row>
    <row r="21" customFormat="false" ht="15" hidden="false" customHeight="false" outlineLevel="0" collapsed="false">
      <c r="A21" s="5" t="s">
        <v>67</v>
      </c>
      <c r="B21" s="23" t="n">
        <f aca="false">PARÁMETROS!$B$15*PARÁMETROS!$B$18</f>
        <v>9903.295</v>
      </c>
      <c r="C21" s="24" t="n">
        <f aca="false">PROYECCIÓN!$B$5</f>
        <v>67957.06</v>
      </c>
      <c r="D21" s="25" t="n">
        <f aca="false">MIN(1,IFERROR(C21/B21,0))</f>
        <v>1</v>
      </c>
      <c r="E21" s="26" t="str">
        <f aca="false">IF(C21&gt;=B21,"Hoy",IF(COUNTIF(PROYECCIÓN!$D$15:$D$45,"&lt;"&amp;B21)&gt;PROYECCIÓN!$B$11,"—",INDEX(PROYECCIÓN!$C$15:$C$45,COUNTIF(PROYECCIÓN!$D$15:$D$45,"&lt;"&amp;B21)+1)))</f>
        <v>Hoy</v>
      </c>
      <c r="F21" s="26" t="str">
        <f aca="false">IF(OR(C21&gt;=B21,COUNTIF(PROYECCIÓN!$D$15:$D$45,"&lt;"&amp;B21)&gt;PROYECCIÓN!$B$11),"",INDEX(PROYECCIÓN!$B$15:$B$45,COUNTIF(PROYECCIÓN!$D$15:$D$45,"&lt;"&amp;B21)+1))</f>
        <v/>
      </c>
      <c r="G21" s="26" t="str">
        <f aca="false">IF(OR(C21&gt;=B21,COUNTIF(PROYECCIÓN!$D$15:$D$45,"&lt;"&amp;B21)&gt;PROYECCIÓN!$B$11),"",COUNTIF(PROYECCIÓN!$D$15:$D$45,"&lt;"&amp;B21))</f>
        <v/>
      </c>
      <c r="H21" s="27" t="str">
        <f aca="false">IF(C21&gt;=B21,"✅ Conseguido",IF(COUNTIF(PROYECCIÓN!$D$15:$D$45,"&lt;"&amp;B21)&gt;PROYECCIÓN!$B$11,"⛔ Antes de jubilarte no","🔄 En camino"))</f>
        <v>✅ Conseguido</v>
      </c>
      <c r="I21" s="12" t="str">
        <f aca="false">REPT("█",ROUND(D21*10,0))&amp;REPT("░",10-ROUND(D21*10,0))&amp;" "&amp;TEXT(D21,"0%")</f>
        <v>██████████ 100%</v>
      </c>
    </row>
    <row r="22" customFormat="false" ht="15" hidden="false" customHeight="false" outlineLevel="0" collapsed="false">
      <c r="A22" s="5" t="s">
        <v>68</v>
      </c>
      <c r="B22" s="28" t="n">
        <v>100000</v>
      </c>
      <c r="C22" s="24" t="n">
        <f aca="false">PROYECCIÓN!$B$8</f>
        <v>67957.06</v>
      </c>
      <c r="D22" s="25" t="n">
        <f aca="false">MIN(1,IFERROR(C22/B22,0))</f>
        <v>0.6795706</v>
      </c>
      <c r="E22" s="26" t="n">
        <f aca="false">IF(C22&gt;=B22,"Hoy",IF(COUNTIF(PROYECCIÓN!$G$15:$G$45,"&lt;"&amp;B22)&gt;PROYECCIÓN!$B$11,"—",INDEX(PROYECCIÓN!$C$15:$C$45,COUNTIF(PROYECCIÓN!$G$15:$G$45,"&lt;"&amp;B22)+1)))</f>
        <v>2029</v>
      </c>
      <c r="F22" s="26" t="n">
        <f aca="false">IF(OR(C22&gt;=B22,COUNTIF(PROYECCIÓN!$G$15:$G$45,"&lt;"&amp;B22)&gt;PROYECCIÓN!$B$11),"",INDEX(PROYECCIÓN!$B$15:$B$45,COUNTIF(PROYECCIÓN!$G$15:$G$45,"&lt;"&amp;B22)+1))</f>
        <v>44</v>
      </c>
      <c r="G22" s="26" t="n">
        <f aca="false">IF(OR(C22&gt;=B22,COUNTIF(PROYECCIÓN!$G$15:$G$45,"&lt;"&amp;B22)&gt;PROYECCIÓN!$B$11),"",COUNTIF(PROYECCIÓN!$G$15:$G$45,"&lt;"&amp;B22))</f>
        <v>3</v>
      </c>
      <c r="H22" s="27" t="str">
        <f aca="false">IF(C22&gt;=B22,"✅ Conseguido",IF(COUNTIF(PROYECCIÓN!$G$15:$G$45,"&lt;"&amp;B22)&gt;PROYECCIÓN!$B$11,"⛔ Antes de jubilarte no","🔄 En camino"))</f>
        <v>🔄 En camino</v>
      </c>
      <c r="I22" s="12" t="str">
        <f aca="false">REPT("█",ROUND(D22*10,0))&amp;REPT("░",10-ROUND(D22*10,0))&amp;" "&amp;TEXT(D22,"0%")</f>
        <v>███████░░░ 68%</v>
      </c>
    </row>
    <row r="23" customFormat="false" ht="15" hidden="false" customHeight="false" outlineLevel="0" collapsed="false">
      <c r="A23" s="5" t="s">
        <v>69</v>
      </c>
      <c r="B23" s="28" t="n">
        <v>150000</v>
      </c>
      <c r="C23" s="24" t="n">
        <f aca="false">PROYECCIÓN!$B$8</f>
        <v>67957.06</v>
      </c>
      <c r="D23" s="25" t="n">
        <f aca="false">MIN(1,IFERROR(C23/B23,0))</f>
        <v>0.453047066666667</v>
      </c>
      <c r="E23" s="26" t="n">
        <f aca="false">IF(C23&gt;=B23,"Hoy",IF(COUNTIF(PROYECCIÓN!$G$15:$G$45,"&lt;"&amp;B23)&gt;PROYECCIÓN!$B$11,"—",INDEX(PROYECCIÓN!$C$15:$C$45,COUNTIF(PROYECCIÓN!$G$15:$G$45,"&lt;"&amp;B23)+1)))</f>
        <v>2033</v>
      </c>
      <c r="F23" s="26" t="n">
        <f aca="false">IF(OR(C23&gt;=B23,COUNTIF(PROYECCIÓN!$G$15:$G$45,"&lt;"&amp;B23)&gt;PROYECCIÓN!$B$11),"",INDEX(PROYECCIÓN!$B$15:$B$45,COUNTIF(PROYECCIÓN!$G$15:$G$45,"&lt;"&amp;B23)+1))</f>
        <v>48</v>
      </c>
      <c r="G23" s="26" t="n">
        <f aca="false">IF(OR(C23&gt;=B23,COUNTIF(PROYECCIÓN!$G$15:$G$45,"&lt;"&amp;B23)&gt;PROYECCIÓN!$B$11),"",COUNTIF(PROYECCIÓN!$G$15:$G$45,"&lt;"&amp;B23))</f>
        <v>7</v>
      </c>
      <c r="H23" s="27" t="str">
        <f aca="false">IF(C23&gt;=B23,"✅ Conseguido",IF(COUNTIF(PROYECCIÓN!$G$15:$G$45,"&lt;"&amp;B23)&gt;PROYECCIÓN!$B$11,"⛔ Antes de jubilarte no","🔄 En camino"))</f>
        <v>🔄 En camino</v>
      </c>
      <c r="I23" s="12" t="str">
        <f aca="false">REPT("█",ROUND(D23*10,0))&amp;REPT("░",10-ROUND(D23*10,0))&amp;" "&amp;TEXT(D23,"0%")</f>
        <v>█████░░░░░ 45%</v>
      </c>
    </row>
    <row r="24" customFormat="false" ht="15" hidden="false" customHeight="false" outlineLevel="0" collapsed="false">
      <c r="A24" s="5" t="s">
        <v>70</v>
      </c>
      <c r="B24" s="29" t="n">
        <v>1</v>
      </c>
      <c r="C24" s="30" t="n">
        <f aca="false">VIVIENDA!$B$6</f>
        <v>0</v>
      </c>
      <c r="D24" s="25" t="n">
        <f aca="false">MIN(1,IFERROR(C24/B24,0))</f>
        <v>0</v>
      </c>
      <c r="E24" s="26" t="n">
        <f aca="false">IF(C24&gt;=B24,"Hoy",IF(DECISIONES!$B$10="Sí",PARÁMETROS!$B$6+DECISIONES!$B$14,"—"))</f>
        <v>2026</v>
      </c>
      <c r="F24" s="26" t="n">
        <f aca="false">IF(C24&gt;=B24,"",IF(DECISIONES!$B$10="Sí",PARÁMETROS!$B$4+DECISIONES!$B$14,""))</f>
        <v>41</v>
      </c>
      <c r="G24" s="26" t="n">
        <f aca="false">IF(C24&gt;=B24,"",IF(DECISIONES!$B$10="Sí",DECISIONES!$B$14,""))</f>
        <v>0</v>
      </c>
      <c r="H24" s="27" t="str">
        <f aca="false">IF(C24&gt;=B24,"✅ Conseguido",IF(DECISIONES!$B$10="Sí","📅 En DECISIONES","🤔 Por decidir"))</f>
        <v>📅 En DECISIONES</v>
      </c>
      <c r="I24" s="12" t="str">
        <f aca="false">REPT("█",ROUND(D24*10,0))&amp;REPT("░",10-ROUND(D24*10,0))&amp;" "&amp;TEXT(D24,"0%")</f>
        <v>░░░░░░░░░░ 0%</v>
      </c>
    </row>
    <row r="25" customFormat="false" ht="15" hidden="false" customHeight="false" outlineLevel="0" collapsed="false">
      <c r="A25" s="5" t="s">
        <v>71</v>
      </c>
      <c r="B25" s="29" t="n">
        <v>0.25</v>
      </c>
      <c r="C25" s="30" t="n">
        <f aca="false">PROYECCIÓN!$M$15</f>
        <v>0.137241312108748</v>
      </c>
      <c r="D25" s="25" t="n">
        <f aca="false">MIN(1,IFERROR(C25/B25,0))</f>
        <v>0.548965248434991</v>
      </c>
      <c r="E25" s="26" t="n">
        <f aca="false">IF(C25&gt;=B25,"Hoy",IF(COUNTIF(PROYECCIÓN!$M$15:$M$45,"&lt;"&amp;B25)&gt;PROYECCIÓN!$B$11,"—",INDEX(PROYECCIÓN!$C$15:$C$45,COUNTIF(PROYECCIÓN!$M$15:$M$45,"&lt;"&amp;B25)+1)))</f>
        <v>2032</v>
      </c>
      <c r="F25" s="26" t="n">
        <f aca="false">IF(OR(C25&gt;=B25,COUNTIF(PROYECCIÓN!$M$15:$M$45,"&lt;"&amp;B25)&gt;PROYECCIÓN!$B$11),"",INDEX(PROYECCIÓN!$B$15:$B$45,COUNTIF(PROYECCIÓN!$M$15:$M$45,"&lt;"&amp;B25)+1))</f>
        <v>47</v>
      </c>
      <c r="G25" s="26" t="n">
        <f aca="false">IF(OR(C25&gt;=B25,COUNTIF(PROYECCIÓN!$M$15:$M$45,"&lt;"&amp;B25)&gt;PROYECCIÓN!$B$11),"",COUNTIF(PROYECCIÓN!$M$15:$M$45,"&lt;"&amp;B25))</f>
        <v>6</v>
      </c>
      <c r="H25" s="27" t="str">
        <f aca="false">IF(C25&gt;=B25,"✅ Conseguido",IF(COUNTIF(PROYECCIÓN!$M$15:$M$45,"&lt;"&amp;B25)&gt;PROYECCIÓN!$B$11,"⛔ Antes de jubilarte no","🔄 En camino"))</f>
        <v>🔄 En camino</v>
      </c>
      <c r="I25" s="12" t="str">
        <f aca="false">REPT("█",ROUND(D25*10,0))&amp;REPT("░",10-ROUND(D25*10,0))&amp;" "&amp;TEXT(D25,"0%")</f>
        <v>█████░░░░░ 55%</v>
      </c>
    </row>
    <row r="26" customFormat="false" ht="15" hidden="false" customHeight="false" outlineLevel="0" collapsed="false">
      <c r="A26" s="5" t="s">
        <v>72</v>
      </c>
      <c r="B26" s="28" t="n">
        <v>200000</v>
      </c>
      <c r="C26" s="24" t="n">
        <f aca="false">PROYECCIÓN!$B$8</f>
        <v>67957.06</v>
      </c>
      <c r="D26" s="25" t="n">
        <f aca="false">MIN(1,IFERROR(C26/B26,0))</f>
        <v>0.3397853</v>
      </c>
      <c r="E26" s="26" t="n">
        <f aca="false">IF(C26&gt;=B26,"Hoy",IF(COUNTIF(PROYECCIÓN!$G$15:$G$45,"&lt;"&amp;B26)&gt;PROYECCIÓN!$B$11,"—",INDEX(PROYECCIÓN!$C$15:$C$45,COUNTIF(PROYECCIÓN!$G$15:$G$45,"&lt;"&amp;B26)+1)))</f>
        <v>2036</v>
      </c>
      <c r="F26" s="26" t="n">
        <f aca="false">IF(OR(C26&gt;=B26,COUNTIF(PROYECCIÓN!$G$15:$G$45,"&lt;"&amp;B26)&gt;PROYECCIÓN!$B$11),"",INDEX(PROYECCIÓN!$B$15:$B$45,COUNTIF(PROYECCIÓN!$G$15:$G$45,"&lt;"&amp;B26)+1))</f>
        <v>51</v>
      </c>
      <c r="G26" s="26" t="n">
        <f aca="false">IF(OR(C26&gt;=B26,COUNTIF(PROYECCIÓN!$G$15:$G$45,"&lt;"&amp;B26)&gt;PROYECCIÓN!$B$11),"",COUNTIF(PROYECCIÓN!$G$15:$G$45,"&lt;"&amp;B26))</f>
        <v>10</v>
      </c>
      <c r="H26" s="27" t="str">
        <f aca="false">IF(C26&gt;=B26,"✅ Conseguido",IF(COUNTIF(PROYECCIÓN!$G$15:$G$45,"&lt;"&amp;B26)&gt;PROYECCIÓN!$B$11,"⛔ Antes de jubilarte no","🔄 En camino"))</f>
        <v>🔄 En camino</v>
      </c>
      <c r="I26" s="12" t="str">
        <f aca="false">REPT("█",ROUND(D26*10,0))&amp;REPT("░",10-ROUND(D26*10,0))&amp;" "&amp;TEXT(D26,"0%")</f>
        <v>███░░░░░░░ 34%</v>
      </c>
    </row>
    <row r="27" customFormat="false" ht="15" hidden="false" customHeight="false" outlineLevel="0" collapsed="false">
      <c r="A27" s="5" t="s">
        <v>73</v>
      </c>
      <c r="B27" s="29" t="n">
        <v>0.5</v>
      </c>
      <c r="C27" s="30" t="n">
        <f aca="false">PROYECCIÓN!$M$15</f>
        <v>0.137241312108748</v>
      </c>
      <c r="D27" s="25" t="n">
        <f aca="false">MIN(1,IFERROR(C27/B27,0))</f>
        <v>0.274482624217495</v>
      </c>
      <c r="E27" s="26" t="n">
        <f aca="false">IF(C27&gt;=B27,"Hoy",IF(COUNTIF(PROYECCIÓN!$M$15:$M$45,"&lt;"&amp;B27)&gt;PROYECCIÓN!$B$11,"—",INDEX(PROYECCIÓN!$C$15:$C$45,COUNTIF(PROYECCIÓN!$M$15:$M$45,"&lt;"&amp;B27)+1)))</f>
        <v>2049</v>
      </c>
      <c r="F27" s="26" t="n">
        <f aca="false">IF(OR(C27&gt;=B27,COUNTIF(PROYECCIÓN!$M$15:$M$45,"&lt;"&amp;B27)&gt;PROYECCIÓN!$B$11),"",INDEX(PROYECCIÓN!$B$15:$B$45,COUNTIF(PROYECCIÓN!$M$15:$M$45,"&lt;"&amp;B27)+1))</f>
        <v>64</v>
      </c>
      <c r="G27" s="26" t="n">
        <f aca="false">IF(OR(C27&gt;=B27,COUNTIF(PROYECCIÓN!$M$15:$M$45,"&lt;"&amp;B27)&gt;PROYECCIÓN!$B$11),"",COUNTIF(PROYECCIÓN!$M$15:$M$45,"&lt;"&amp;B27))</f>
        <v>23</v>
      </c>
      <c r="H27" s="27" t="str">
        <f aca="false">IF(C27&gt;=B27,"✅ Conseguido",IF(COUNTIF(PROYECCIÓN!$M$15:$M$45,"&lt;"&amp;B27)&gt;PROYECCIÓN!$B$11,"⛔ Antes de jubilarte no","🔄 En camino"))</f>
        <v>🔄 En camino</v>
      </c>
      <c r="I27" s="12" t="str">
        <f aca="false">REPT("█",ROUND(D27*10,0))&amp;REPT("░",10-ROUND(D27*10,0))&amp;" "&amp;TEXT(D27,"0%")</f>
        <v>███░░░░░░░ 27%</v>
      </c>
    </row>
    <row r="28" customFormat="false" ht="15" hidden="false" customHeight="false" outlineLevel="0" collapsed="false">
      <c r="A28" s="5" t="s">
        <v>74</v>
      </c>
      <c r="B28" s="31" t="n">
        <v>90</v>
      </c>
      <c r="C28" s="32" t="n">
        <f aca="false">PROYECCIÓN!$B$92</f>
        <v>108</v>
      </c>
      <c r="D28" s="25" t="n">
        <f aca="false">MIN(1,IFERROR(C28/B28,0))</f>
        <v>1</v>
      </c>
      <c r="E28" s="27" t="str">
        <f aca="false">""</f>
        <v/>
      </c>
      <c r="F28" s="27" t="str">
        <f aca="false">""</f>
        <v/>
      </c>
      <c r="G28" s="27" t="str">
        <f aca="false">""</f>
        <v/>
      </c>
      <c r="H28" s="27" t="str">
        <f aca="false">IF(C28&gt;=B28,"✅ Cubierto","⚠️ Ajusta el plan")</f>
        <v>✅ Cubierto</v>
      </c>
      <c r="I28" s="12" t="str">
        <f aca="false">REPT("█",ROUND(D28*10,0))&amp;REPT("░",10-ROUND(D28*10,0))&amp;" "&amp;TEXT(D28,"0%")</f>
        <v>██████████ 100%</v>
      </c>
    </row>
    <row r="30" customFormat="false" ht="15" hidden="false" customHeight="false" outlineLevel="0" collapsed="false">
      <c r="A30" s="16" t="s">
        <v>75</v>
      </c>
      <c r="B30" s="17"/>
      <c r="C30" s="17"/>
      <c r="D30" s="17"/>
      <c r="E30" s="17"/>
      <c r="F30" s="17"/>
      <c r="G30" s="17"/>
      <c r="H30" s="17"/>
      <c r="I30" s="17"/>
    </row>
    <row r="31" customFormat="false" ht="22.35" hidden="false" customHeight="false" outlineLevel="0" collapsed="false">
      <c r="A31" s="22" t="s">
        <v>62</v>
      </c>
      <c r="B31" s="22" t="s">
        <v>76</v>
      </c>
      <c r="C31" s="22" t="s">
        <v>77</v>
      </c>
      <c r="D31" s="22" t="s">
        <v>78</v>
      </c>
      <c r="E31" s="22" t="s">
        <v>79</v>
      </c>
      <c r="F31" s="22" t="s">
        <v>80</v>
      </c>
      <c r="G31" s="22" t="s">
        <v>81</v>
      </c>
      <c r="H31" s="22"/>
      <c r="I31" s="22"/>
    </row>
    <row r="32" customFormat="false" ht="15" hidden="false" customHeight="false" outlineLevel="0" collapsed="false">
      <c r="A32" s="33" t="n">
        <f aca="false">PARÁMETROS!$B$6-1+0</f>
        <v>2025</v>
      </c>
      <c r="B32" s="34" t="n">
        <f aca="false">SUMIFS('MIS DATOS'!$G$6:$G$245,'MIS DATOS'!$L$6:$L$245,A32)</f>
        <v>8698.69</v>
      </c>
      <c r="C32" s="34" t="n">
        <f aca="false">SUMIFS('MIS DATOS'!$H$6:$H$245,'MIS DATOS'!$L$6:$L$245,A32)</f>
        <v>4904.55</v>
      </c>
      <c r="D32" s="34" t="n">
        <f aca="false">B32-C32</f>
        <v>3794.14</v>
      </c>
      <c r="E32" s="25" t="n">
        <f aca="false">IF(G32=0,"",D32/B32)</f>
        <v>0.436173722709971</v>
      </c>
      <c r="F32" s="27" t="str">
        <f aca="false">IF(G32=0,"",IF(E32&gt;=0.4,"🥇 Oro",IF(E32&gt;=0.25,"🥈 Plata",IF(E32&gt;=0.1,"🥉 Bronce","—")))&amp;IF(G32&lt;12," (parcial)",""))</f>
        <v>🥇 Oro (parcial)</v>
      </c>
      <c r="G32" s="26" t="n">
        <f aca="false">COUNTIF('MIS DATOS'!$L$6:$L$245,A32)</f>
        <v>3</v>
      </c>
    </row>
    <row r="33" customFormat="false" ht="15" hidden="false" customHeight="false" outlineLevel="0" collapsed="false">
      <c r="A33" s="33" t="n">
        <f aca="false">PARÁMETROS!$B$6-1+1</f>
        <v>2026</v>
      </c>
      <c r="B33" s="34" t="n">
        <f aca="false">SUMIFS('MIS DATOS'!$G$6:$G$245,'MIS DATOS'!$L$6:$L$245,A33)</f>
        <v>22830.22</v>
      </c>
      <c r="C33" s="34" t="n">
        <f aca="false">SUMIFS('MIS DATOS'!$H$6:$H$245,'MIS DATOS'!$L$6:$L$245,A33)</f>
        <v>14902.04</v>
      </c>
      <c r="D33" s="34" t="n">
        <f aca="false">B33-C33</f>
        <v>7928.18</v>
      </c>
      <c r="E33" s="25" t="n">
        <f aca="false">IF(G33=0,"",D33/B33)</f>
        <v>0.347266912013989</v>
      </c>
      <c r="F33" s="27" t="str">
        <f aca="false">IF(G33=0,"",IF(E33&gt;=0.4,"🥇 Oro",IF(E33&gt;=0.25,"🥈 Plata",IF(E33&gt;=0.1,"🥉 Bronce","—")))&amp;IF(G33&lt;12," (parcial)",""))</f>
        <v>🥈 Plata (parcial)</v>
      </c>
      <c r="G33" s="26" t="n">
        <f aca="false">COUNTIF('MIS DATOS'!$L$6:$L$245,A33)</f>
        <v>9</v>
      </c>
    </row>
    <row r="34" customFormat="false" ht="15" hidden="false" customHeight="false" outlineLevel="0" collapsed="false">
      <c r="A34" s="33" t="n">
        <f aca="false">PARÁMETROS!$B$6-1+2</f>
        <v>2027</v>
      </c>
      <c r="B34" s="34" t="n">
        <f aca="false">SUMIFS('MIS DATOS'!$G$6:$G$245,'MIS DATOS'!$L$6:$L$245,A34)</f>
        <v>0</v>
      </c>
      <c r="C34" s="34" t="n">
        <f aca="false">SUMIFS('MIS DATOS'!$H$6:$H$245,'MIS DATOS'!$L$6:$L$245,A34)</f>
        <v>0</v>
      </c>
      <c r="D34" s="34" t="n">
        <f aca="false">B34-C34</f>
        <v>0</v>
      </c>
      <c r="E34" s="25" t="str">
        <f aca="false">IF(G34=0,"",D34/B34)</f>
        <v/>
      </c>
      <c r="F34" s="27" t="str">
        <f aca="false">IF(G34=0,"",IF(E34&gt;=0.4,"🥇 Oro",IF(E34&gt;=0.25,"🥈 Plata",IF(E34&gt;=0.1,"🥉 Bronce","—")))&amp;IF(G34&lt;12," (parcial)",""))</f>
        <v/>
      </c>
      <c r="G34" s="26" t="n">
        <f aca="false">COUNTIF('MIS DATOS'!$L$6:$L$245,A34)</f>
        <v>0</v>
      </c>
    </row>
    <row r="35" customFormat="false" ht="15" hidden="false" customHeight="false" outlineLevel="0" collapsed="false">
      <c r="A35" s="33" t="n">
        <f aca="false">PARÁMETROS!$B$6-1+3</f>
        <v>2028</v>
      </c>
      <c r="B35" s="34" t="n">
        <f aca="false">SUMIFS('MIS DATOS'!$G$6:$G$245,'MIS DATOS'!$L$6:$L$245,A35)</f>
        <v>0</v>
      </c>
      <c r="C35" s="34" t="n">
        <f aca="false">SUMIFS('MIS DATOS'!$H$6:$H$245,'MIS DATOS'!$L$6:$L$245,A35)</f>
        <v>0</v>
      </c>
      <c r="D35" s="34" t="n">
        <f aca="false">B35-C35</f>
        <v>0</v>
      </c>
      <c r="E35" s="25" t="str">
        <f aca="false">IF(G35=0,"",D35/B35)</f>
        <v/>
      </c>
      <c r="F35" s="27" t="str">
        <f aca="false">IF(G35=0,"",IF(E35&gt;=0.4,"🥇 Oro",IF(E35&gt;=0.25,"🥈 Plata",IF(E35&gt;=0.1,"🥉 Bronce","—")))&amp;IF(G35&lt;12," (parcial)",""))</f>
        <v/>
      </c>
      <c r="G35" s="26" t="n">
        <f aca="false">COUNTIF('MIS DATOS'!$L$6:$L$245,A35)</f>
        <v>0</v>
      </c>
    </row>
    <row r="36" customFormat="false" ht="15" hidden="false" customHeight="false" outlineLevel="0" collapsed="false">
      <c r="A36" s="13" t="s">
        <v>82</v>
      </c>
    </row>
    <row r="38" customFormat="false" ht="15" hidden="false" customHeight="false" outlineLevel="0" collapsed="false">
      <c r="A38" s="16" t="s">
        <v>83</v>
      </c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false" outlineLevel="0" collapsed="false">
      <c r="B39" s="8" t="s">
        <v>53</v>
      </c>
      <c r="D39" s="8" t="s">
        <v>54</v>
      </c>
      <c r="G39" s="8" t="s">
        <v>84</v>
      </c>
    </row>
    <row r="40" customFormat="false" ht="15" hidden="false" customHeight="false" outlineLevel="0" collapsed="false">
      <c r="A40" s="35" t="str">
        <f aca="false">"Patrimonio líquido a los "&amp;PARÁMETROS!$B$5</f>
        <v>Patrimonio líquido a los 67</v>
      </c>
      <c r="B40" s="36" t="n">
        <f aca="false">INDEX(PROYECCIÓN!$G$15:$G$45,PROYECCIÓN!$B$11+1)</f>
        <v>502169.24534427</v>
      </c>
      <c r="D40" s="36" t="n">
        <f aca="false">INDEX(PROYECCIÓN!$O$15:$O$45,PROYECCIÓN!$B$11+1)</f>
        <v>488086.555909073</v>
      </c>
      <c r="G40" s="37" t="n">
        <f aca="false">D40-B40</f>
        <v>-14082.6894351964</v>
      </c>
    </row>
    <row r="41" customFormat="false" ht="15" hidden="false" customHeight="false" outlineLevel="0" collapsed="false">
      <c r="A41" s="38" t="s">
        <v>85</v>
      </c>
      <c r="B41" s="36" t="n">
        <f aca="false">INDEX(PROYECCIÓN!$T$15:$T$45,PROYECCIÓN!$B$11+1)</f>
        <v>502169.24534427</v>
      </c>
      <c r="D41" s="36" t="n">
        <f aca="false">INDEX(PROYECCIÓN!$U$15:$U$45,PROYECCIÓN!$B$11+1)</f>
        <v>962536.634768719</v>
      </c>
      <c r="G41" s="37" t="n">
        <f aca="false">D41-B41</f>
        <v>460367.389424449</v>
      </c>
    </row>
    <row r="42" customFormat="false" ht="15" hidden="false" customHeight="false" outlineLevel="0" collapsed="false">
      <c r="A42" s="38" t="s">
        <v>86</v>
      </c>
      <c r="B42" s="39" t="n">
        <f aca="false">INDEX(PROYECCIÓN!$M$15:$M$45,PROYECCIÓN!$B$11+1)</f>
        <v>0.533678725972287</v>
      </c>
      <c r="D42" s="39" t="n">
        <f aca="false">INDEX(PROYECCIÓN!$Q$15:$Q$45,PROYECCIÓN!$B$11+1)</f>
        <v>1.06946624254682</v>
      </c>
    </row>
    <row r="43" customFormat="false" ht="15" hidden="false" customHeight="false" outlineLevel="0" collapsed="false">
      <c r="A43" s="13" t="str">
        <f aca="false">"Decisiones: "&amp;TEXT(DECISIONES!$B$5,"#,##0")&amp;" € del efectivo a inversión, +"&amp;TEXT(DECISIONES!$B$6,"#,##0")&amp;" €/mes a inversión, −"&amp;TEXT(DECISIONES!$B$7,"#,##0")&amp;" €/mes de gastos"&amp;IF(DECISIONES!$B$10="Sí",", compra de la vivienda ("&amp;DECISIONES!$B$11&amp;")","")&amp;". Comprar pasa dinero líquido a ladrillo: mira las dos filas."</f>
        <v>Decisiones: 0 € del efectivo a inversión, +0 €/mes a inversión, −0 €/mes de gastos, compra de la vivienda (Comprar ya). Comprar pasa dinero líquido a ladrillo: mira las dos filas.</v>
      </c>
    </row>
    <row r="45" customFormat="false" ht="15" hidden="false" customHeight="false" outlineLevel="0" collapsed="false">
      <c r="A45" s="16" t="s">
        <v>87</v>
      </c>
      <c r="B45" s="17"/>
      <c r="C45" s="17"/>
      <c r="D45" s="17"/>
      <c r="E45" s="17"/>
      <c r="F45" s="17"/>
      <c r="G45" s="17"/>
      <c r="H45" s="17"/>
      <c r="I45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7"/>
    <col collapsed="false" customWidth="true" hidden="false" outlineLevel="0" max="14" min="13" style="0" width="10"/>
  </cols>
  <sheetData>
    <row r="1" customFormat="false" ht="30" hidden="false" customHeight="true" outlineLevel="0" collapsed="false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88</v>
      </c>
    </row>
    <row r="3" customFormat="false" ht="15" hidden="false" customHeight="false" outlineLevel="0" collapsed="false">
      <c r="A3" s="40" t="s">
        <v>89</v>
      </c>
    </row>
    <row r="5" customFormat="false" ht="22.35" hidden="false" customHeight="false" outlineLevel="0" collapsed="false">
      <c r="A5" s="22" t="s">
        <v>90</v>
      </c>
      <c r="B5" s="22" t="s">
        <v>91</v>
      </c>
      <c r="C5" s="22" t="s">
        <v>92</v>
      </c>
      <c r="D5" s="22" t="s">
        <v>93</v>
      </c>
      <c r="E5" s="22" t="s">
        <v>94</v>
      </c>
      <c r="F5" s="22" t="s">
        <v>95</v>
      </c>
      <c r="G5" s="22" t="s">
        <v>96</v>
      </c>
      <c r="H5" s="22" t="s">
        <v>97</v>
      </c>
      <c r="I5" s="22" t="s">
        <v>98</v>
      </c>
      <c r="J5" s="22" t="s">
        <v>99</v>
      </c>
      <c r="K5" s="22" t="s">
        <v>100</v>
      </c>
      <c r="L5" s="22" t="s">
        <v>62</v>
      </c>
      <c r="M5" s="22" t="s">
        <v>101</v>
      </c>
      <c r="N5" s="22" t="s">
        <v>102</v>
      </c>
    </row>
    <row r="6" customFormat="false" ht="15" hidden="false" customHeight="false" outlineLevel="0" collapsed="false">
      <c r="A6" s="41" t="n">
        <v>45931</v>
      </c>
      <c r="B6" s="42" t="n">
        <v>3446.26</v>
      </c>
      <c r="C6" s="42" t="n">
        <v>1080</v>
      </c>
      <c r="D6" s="42" t="n">
        <v>52332.69</v>
      </c>
      <c r="E6" s="28" t="n">
        <v>0</v>
      </c>
      <c r="F6" s="28" t="n">
        <v>0</v>
      </c>
      <c r="G6" s="43" t="n">
        <f aca="false">IF(A6="","",SUMIFS(MOVIMIENTOS!$E$4:$E$20000,MOVIMIENTOS!$B$4:$B$20000,A6,MOVIMIENTOS!$H$4:$H$20000,"Ingreso")+SUMIFS(FLEXIBLE!$D$4:$D$200,FLEXIBLE!$F$4:$F$200,A6))</f>
        <v>2182.69</v>
      </c>
      <c r="H6" s="43" t="n">
        <f aca="false">IF(A6="","",-SUMIFS(MOVIMIENTOS!$E$4:$E$20000,MOVIMIENTOS!$B$4:$B$20000,A6,MOVIMIENTOS!$H$4:$H$20000,"Gasto")+SUMIFS(FLEXIBLE!$D$4:$D$200,FLEXIBLE!$F$4:$F$200,A6))</f>
        <v>1569.48</v>
      </c>
      <c r="I6" s="43" t="n">
        <f aca="false">IF(A6="","",G6-H6)</f>
        <v>613.21</v>
      </c>
      <c r="J6" s="44" t="n">
        <f aca="false">IF(A6="","",IF(N6=0,"en curso",IF(N(G6)=0,"",I6/G6)))</f>
        <v>0.28094232346325</v>
      </c>
      <c r="K6" s="43" t="n">
        <f aca="false">IF(A6="","",SUM(B6:F6))</f>
        <v>56858.95</v>
      </c>
      <c r="L6" s="45" t="n">
        <f aca="false">IF(A6="","",YEAR(A6))</f>
        <v>2025</v>
      </c>
      <c r="M6" s="45" t="n">
        <f aca="false">IF(A6="","",COUNTIFS(MOVIMIENTOS!$B$4:$B$20000,A6,MOVIMIENTOS!$H$4:$H$20000,"Por revisar"))</f>
        <v>0</v>
      </c>
      <c r="N6" s="45" t="n">
        <f aca="true">IF(A6="","",IF(A6&lt;DATE(YEAR(TODAY()),MONTH(TODAY()),1),1,0))</f>
        <v>1</v>
      </c>
    </row>
    <row r="7" customFormat="false" ht="15" hidden="false" customHeight="false" outlineLevel="0" collapsed="false">
      <c r="A7" s="41" t="n">
        <v>45962</v>
      </c>
      <c r="B7" s="42" t="n">
        <v>3570.92</v>
      </c>
      <c r="C7" s="42" t="n">
        <v>1114.26</v>
      </c>
      <c r="D7" s="42" t="n">
        <v>52665.59</v>
      </c>
      <c r="E7" s="28" t="n">
        <v>0</v>
      </c>
      <c r="F7" s="28" t="n">
        <v>0</v>
      </c>
      <c r="G7" s="43" t="n">
        <f aca="false">IF(A7="","",SUMIFS(MOVIMIENTOS!$E$4:$E$20000,MOVIMIENTOS!$B$4:$B$20000,A7,MOVIMIENTOS!$H$4:$H$20000,"Ingreso")+SUMIFS(FLEXIBLE!$D$4:$D$200,FLEXIBLE!$F$4:$F$200,A7))</f>
        <v>2182.9</v>
      </c>
      <c r="H7" s="43" t="n">
        <f aca="false">IF(A7="","",-SUMIFS(MOVIMIENTOS!$E$4:$E$20000,MOVIMIENTOS!$B$4:$B$20000,A7,MOVIMIENTOS!$H$4:$H$20000,"Gasto")+SUMIFS(FLEXIBLE!$D$4:$D$200,FLEXIBLE!$F$4:$F$200,A7))</f>
        <v>1735.4</v>
      </c>
      <c r="I7" s="43" t="n">
        <f aca="false">IF(A7="","",G7-H7)</f>
        <v>447.5</v>
      </c>
      <c r="J7" s="44" t="n">
        <f aca="false">IF(A7="","",IF(N7=0,"en curso",IF(N(G7)=0,"",I7/G7)))</f>
        <v>0.20500251958404</v>
      </c>
      <c r="K7" s="43" t="n">
        <f aca="false">IF(A7="","",SUM(B7:F7))</f>
        <v>57350.77</v>
      </c>
      <c r="L7" s="45" t="n">
        <f aca="false">IF(A7="","",YEAR(A7))</f>
        <v>2025</v>
      </c>
      <c r="M7" s="45" t="n">
        <f aca="false">IF(A7="","",COUNTIFS(MOVIMIENTOS!$B$4:$B$20000,A7,MOVIMIENTOS!$H$4:$H$20000,"Por revisar"))</f>
        <v>0</v>
      </c>
      <c r="N7" s="45" t="n">
        <f aca="true">IF(A7="","",IF(A7&lt;DATE(YEAR(TODAY()),MONTH(TODAY()),1),1,0))</f>
        <v>1</v>
      </c>
    </row>
    <row r="8" customFormat="false" ht="15" hidden="false" customHeight="false" outlineLevel="0" collapsed="false">
      <c r="A8" s="41" t="n">
        <v>45992</v>
      </c>
      <c r="B8" s="42" t="n">
        <v>5931.77</v>
      </c>
      <c r="C8" s="42" t="n">
        <v>1104.2</v>
      </c>
      <c r="D8" s="42" t="n">
        <v>52998.69</v>
      </c>
      <c r="E8" s="28" t="n">
        <v>0</v>
      </c>
      <c r="F8" s="28" t="n">
        <v>0</v>
      </c>
      <c r="G8" s="43" t="n">
        <f aca="false">IF(A8="","",SUMIFS(MOVIMIENTOS!$E$4:$E$20000,MOVIMIENTOS!$B$4:$B$20000,A8,MOVIMIENTOS!$H$4:$H$20000,"Ingreso")+SUMIFS(FLEXIBLE!$D$4:$D$200,FLEXIBLE!$F$4:$F$200,A8))</f>
        <v>4333.1</v>
      </c>
      <c r="H8" s="43" t="n">
        <f aca="false">IF(A8="","",-SUMIFS(MOVIMIENTOS!$E$4:$E$20000,MOVIMIENTOS!$B$4:$B$20000,A8,MOVIMIENTOS!$H$4:$H$20000,"Gasto")+SUMIFS(FLEXIBLE!$D$4:$D$200,FLEXIBLE!$F$4:$F$200,A8))</f>
        <v>1599.67</v>
      </c>
      <c r="I8" s="43" t="n">
        <f aca="false">IF(A8="","",G8-H8)</f>
        <v>2733.43</v>
      </c>
      <c r="J8" s="44" t="n">
        <f aca="false">IF(A8="","",IF(N8=0,"en curso",IF(N(G8)=0,"",I8/G8)))</f>
        <v>0.630825505988784</v>
      </c>
      <c r="K8" s="43" t="n">
        <f aca="false">IF(A8="","",SUM(B8:F8))</f>
        <v>60034.66</v>
      </c>
      <c r="L8" s="45" t="n">
        <f aca="false">IF(A8="","",YEAR(A8))</f>
        <v>2025</v>
      </c>
      <c r="M8" s="45" t="n">
        <f aca="false">IF(A8="","",COUNTIFS(MOVIMIENTOS!$B$4:$B$20000,A8,MOVIMIENTOS!$H$4:$H$20000,"Por revisar"))</f>
        <v>0</v>
      </c>
      <c r="N8" s="45" t="n">
        <f aca="true">IF(A8="","",IF(A8&lt;DATE(YEAR(TODAY()),MONTH(TODAY()),1),1,0))</f>
        <v>1</v>
      </c>
    </row>
    <row r="9" customFormat="false" ht="15" hidden="false" customHeight="false" outlineLevel="0" collapsed="false">
      <c r="A9" s="41" t="n">
        <v>46023</v>
      </c>
      <c r="B9" s="42" t="n">
        <v>6101.39</v>
      </c>
      <c r="C9" s="42" t="n">
        <v>1143.68</v>
      </c>
      <c r="D9" s="42" t="n">
        <v>53332</v>
      </c>
      <c r="E9" s="28" t="n">
        <v>0</v>
      </c>
      <c r="F9" s="28" t="n">
        <v>0</v>
      </c>
      <c r="G9" s="43" t="n">
        <f aca="false">IF(A9="","",SUMIFS(MOVIMIENTOS!$E$4:$E$20000,MOVIMIENTOS!$B$4:$B$20000,A9,MOVIMIENTOS!$H$4:$H$20000,"Ingreso")+SUMIFS(FLEXIBLE!$D$4:$D$200,FLEXIBLE!$F$4:$F$200,A9))</f>
        <v>2183.31</v>
      </c>
      <c r="H9" s="43" t="n">
        <f aca="false">IF(A9="","",-SUMIFS(MOVIMIENTOS!$E$4:$E$20000,MOVIMIENTOS!$B$4:$B$20000,A9,MOVIMIENTOS!$H$4:$H$20000,"Gasto")+SUMIFS(FLEXIBLE!$D$4:$D$200,FLEXIBLE!$F$4:$F$200,A9))</f>
        <v>1714.98</v>
      </c>
      <c r="I9" s="43" t="n">
        <f aca="false">IF(A9="","",G9-H9)</f>
        <v>468.33</v>
      </c>
      <c r="J9" s="44" t="n">
        <f aca="false">IF(A9="","",IF(N9=0,"en curso",IF(N(G9)=0,"",I9/G9)))</f>
        <v>0.214504582491721</v>
      </c>
      <c r="K9" s="43" t="n">
        <f aca="false">IF(A9="","",SUM(B9:F9))</f>
        <v>60577.07</v>
      </c>
      <c r="L9" s="45" t="n">
        <f aca="false">IF(A9="","",YEAR(A9))</f>
        <v>2026</v>
      </c>
      <c r="M9" s="45" t="n">
        <f aca="false">IF(A9="","",COUNTIFS(MOVIMIENTOS!$B$4:$B$20000,A9,MOVIMIENTOS!$H$4:$H$20000,"Por revisar"))</f>
        <v>0</v>
      </c>
      <c r="N9" s="45" t="n">
        <f aca="true">IF(A9="","",IF(A9&lt;DATE(YEAR(TODAY()),MONTH(TODAY()),1),1,0))</f>
        <v>1</v>
      </c>
    </row>
    <row r="10" customFormat="false" ht="15" hidden="false" customHeight="false" outlineLevel="0" collapsed="false">
      <c r="A10" s="41" t="n">
        <v>46054</v>
      </c>
      <c r="B10" s="42" t="n">
        <v>6319.16</v>
      </c>
      <c r="C10" s="42" t="n">
        <v>1109.08</v>
      </c>
      <c r="D10" s="42" t="n">
        <v>53665.52</v>
      </c>
      <c r="E10" s="28" t="n">
        <v>0</v>
      </c>
      <c r="F10" s="28" t="n">
        <v>0</v>
      </c>
      <c r="G10" s="43" t="n">
        <f aca="false">IF(A10="","",SUMIFS(MOVIMIENTOS!$E$4:$E$20000,MOVIMIENTOS!$B$4:$B$20000,A10,MOVIMIENTOS!$H$4:$H$20000,"Ingreso")+SUMIFS(FLEXIBLE!$D$4:$D$200,FLEXIBLE!$F$4:$F$200,A10))</f>
        <v>2183.52</v>
      </c>
      <c r="H10" s="43" t="n">
        <f aca="false">IF(A10="","",-SUMIFS(MOVIMIENTOS!$E$4:$E$20000,MOVIMIENTOS!$B$4:$B$20000,A10,MOVIMIENTOS!$H$4:$H$20000,"Gasto")+SUMIFS(FLEXIBLE!$D$4:$D$200,FLEXIBLE!$F$4:$F$200,A10))</f>
        <v>1587.05</v>
      </c>
      <c r="I10" s="43" t="n">
        <f aca="false">IF(A10="","",G10-H10)</f>
        <v>596.47</v>
      </c>
      <c r="J10" s="44" t="n">
        <f aca="false">IF(A10="","",IF(N10=0,"en curso",IF(N(G10)=0,"",I10/G10)))</f>
        <v>0.27316901150436</v>
      </c>
      <c r="K10" s="43" t="n">
        <f aca="false">IF(A10="","",SUM(B10:F10))</f>
        <v>61093.76</v>
      </c>
      <c r="L10" s="45" t="n">
        <f aca="false">IF(A10="","",YEAR(A10))</f>
        <v>2026</v>
      </c>
      <c r="M10" s="45" t="n">
        <f aca="false">IF(A10="","",COUNTIFS(MOVIMIENTOS!$B$4:$B$20000,A10,MOVIMIENTOS!$H$4:$H$20000,"Por revisar"))</f>
        <v>0</v>
      </c>
      <c r="N10" s="45" t="n">
        <f aca="true">IF(A10="","",IF(A10&lt;DATE(YEAR(TODAY()),MONTH(TODAY()),1),1,0))</f>
        <v>1</v>
      </c>
    </row>
    <row r="11" customFormat="false" ht="15" hidden="false" customHeight="false" outlineLevel="0" collapsed="false">
      <c r="A11" s="41" t="n">
        <v>46082</v>
      </c>
      <c r="B11" s="42" t="n">
        <v>6481.69</v>
      </c>
      <c r="C11" s="42" t="n">
        <v>1154.26</v>
      </c>
      <c r="D11" s="42" t="n">
        <v>53999.25</v>
      </c>
      <c r="E11" s="28" t="n">
        <v>0</v>
      </c>
      <c r="F11" s="28" t="n">
        <v>0</v>
      </c>
      <c r="G11" s="43" t="n">
        <f aca="false">IF(A11="","",SUMIFS(MOVIMIENTOS!$E$4:$E$20000,MOVIMIENTOS!$B$4:$B$20000,A11,MOVIMIENTOS!$H$4:$H$20000,"Ingreso")+SUMIFS(FLEXIBLE!$D$4:$D$200,FLEXIBLE!$F$4:$F$200,A11))</f>
        <v>2183.73</v>
      </c>
      <c r="H11" s="43" t="n">
        <f aca="false">IF(A11="","",-SUMIFS(MOVIMIENTOS!$E$4:$E$20000,MOVIMIENTOS!$B$4:$B$20000,A11,MOVIMIENTOS!$H$4:$H$20000,"Gasto")+SUMIFS(FLEXIBLE!$D$4:$D$200,FLEXIBLE!$F$4:$F$200,A11))</f>
        <v>1605.51</v>
      </c>
      <c r="I11" s="43" t="n">
        <f aca="false">IF(A11="","",G11-H11)</f>
        <v>578.22</v>
      </c>
      <c r="J11" s="44" t="n">
        <f aca="false">IF(A11="","",IF(N11=0,"en curso",IF(N(G11)=0,"",I11/G11)))</f>
        <v>0.264785481721641</v>
      </c>
      <c r="K11" s="43" t="n">
        <f aca="false">IF(A11="","",SUM(B11:F11))</f>
        <v>61635.2</v>
      </c>
      <c r="L11" s="45" t="n">
        <f aca="false">IF(A11="","",YEAR(A11))</f>
        <v>2026</v>
      </c>
      <c r="M11" s="45" t="n">
        <f aca="false">IF(A11="","",COUNTIFS(MOVIMIENTOS!$B$4:$B$20000,A11,MOVIMIENTOS!$H$4:$H$20000,"Por revisar"))</f>
        <v>0</v>
      </c>
      <c r="N11" s="45" t="n">
        <f aca="true">IF(A11="","",IF(A11&lt;DATE(YEAR(TODAY()),MONTH(TODAY()),1),1,0))</f>
        <v>1</v>
      </c>
    </row>
    <row r="12" customFormat="false" ht="15" hidden="false" customHeight="false" outlineLevel="0" collapsed="false">
      <c r="A12" s="41" t="n">
        <v>46113</v>
      </c>
      <c r="B12" s="42" t="n">
        <v>6640.62</v>
      </c>
      <c r="C12" s="42" t="n">
        <v>1236.22</v>
      </c>
      <c r="D12" s="42" t="n">
        <v>54333.19</v>
      </c>
      <c r="E12" s="28" t="n">
        <v>0</v>
      </c>
      <c r="F12" s="28" t="n">
        <v>0</v>
      </c>
      <c r="G12" s="43" t="n">
        <f aca="false">IF(A12="","",SUMIFS(MOVIMIENTOS!$E$4:$E$20000,MOVIMIENTOS!$B$4:$B$20000,A12,MOVIMIENTOS!$H$4:$H$20000,"Ingreso")+SUMIFS(FLEXIBLE!$D$4:$D$200,FLEXIBLE!$F$4:$F$200,A12))</f>
        <v>2183.94</v>
      </c>
      <c r="H12" s="43" t="n">
        <f aca="false">IF(A12="","",-SUMIFS(MOVIMIENTOS!$E$4:$E$20000,MOVIMIENTOS!$B$4:$B$20000,A12,MOVIMIENTOS!$H$4:$H$20000,"Gasto")+SUMIFS(FLEXIBLE!$D$4:$D$200,FLEXIBLE!$F$4:$F$200,A12))</f>
        <v>1640.04</v>
      </c>
      <c r="I12" s="43" t="n">
        <f aca="false">IF(A12="","",G12-H12)</f>
        <v>543.9</v>
      </c>
      <c r="J12" s="44" t="n">
        <f aca="false">IF(A12="","",IF(N12=0,"en curso",IF(N(G12)=0,"",I12/G12)))</f>
        <v>0.249045303442402</v>
      </c>
      <c r="K12" s="43" t="n">
        <f aca="false">IF(A12="","",SUM(B12:F12))</f>
        <v>62210.03</v>
      </c>
      <c r="L12" s="45" t="n">
        <f aca="false">IF(A12="","",YEAR(A12))</f>
        <v>2026</v>
      </c>
      <c r="M12" s="45" t="n">
        <f aca="false">IF(A12="","",COUNTIFS(MOVIMIENTOS!$B$4:$B$20000,A12,MOVIMIENTOS!$H$4:$H$20000,"Por revisar"))</f>
        <v>0</v>
      </c>
      <c r="N12" s="45" t="n">
        <f aca="true">IF(A12="","",IF(A12&lt;DATE(YEAR(TODAY()),MONTH(TODAY()),1),1,0))</f>
        <v>1</v>
      </c>
    </row>
    <row r="13" customFormat="false" ht="15" hidden="false" customHeight="false" outlineLevel="0" collapsed="false">
      <c r="A13" s="41" t="n">
        <v>46143</v>
      </c>
      <c r="B13" s="42" t="n">
        <v>6863.18</v>
      </c>
      <c r="C13" s="42" t="n">
        <v>1287.25</v>
      </c>
      <c r="D13" s="42" t="n">
        <v>54667.34</v>
      </c>
      <c r="E13" s="28" t="n">
        <v>0</v>
      </c>
      <c r="F13" s="28" t="n">
        <v>0</v>
      </c>
      <c r="G13" s="43" t="n">
        <f aca="false">IF(A13="","",SUMIFS(MOVIMIENTOS!$E$4:$E$20000,MOVIMIENTOS!$B$4:$B$20000,A13,MOVIMIENTOS!$H$4:$H$20000,"Ingreso")+SUMIFS(FLEXIBLE!$D$4:$D$200,FLEXIBLE!$F$4:$F$200,A13))</f>
        <v>2184.15</v>
      </c>
      <c r="H13" s="43" t="n">
        <f aca="false">IF(A13="","",-SUMIFS(MOVIMIENTOS!$E$4:$E$20000,MOVIMIENTOS!$B$4:$B$20000,A13,MOVIMIENTOS!$H$4:$H$20000,"Gasto")+SUMIFS(FLEXIBLE!$D$4:$D$200,FLEXIBLE!$F$4:$F$200,A13))</f>
        <v>1553.78</v>
      </c>
      <c r="I13" s="43" t="n">
        <f aca="false">IF(A13="","",G13-H13)</f>
        <v>630.37</v>
      </c>
      <c r="J13" s="44" t="n">
        <f aca="false">IF(A13="","",IF(N13=0,"en curso",IF(N(G13)=0,"",I13/G13)))</f>
        <v>0.288611130187945</v>
      </c>
      <c r="K13" s="43" t="n">
        <f aca="false">IF(A13="","",SUM(B13:F13))</f>
        <v>62817.77</v>
      </c>
      <c r="L13" s="45" t="n">
        <f aca="false">IF(A13="","",YEAR(A13))</f>
        <v>2026</v>
      </c>
      <c r="M13" s="45" t="n">
        <f aca="false">IF(A13="","",COUNTIFS(MOVIMIENTOS!$B$4:$B$20000,A13,MOVIMIENTOS!$H$4:$H$20000,"Por revisar"))</f>
        <v>0</v>
      </c>
      <c r="N13" s="45" t="n">
        <f aca="true">IF(A13="","",IF(A13&lt;DATE(YEAR(TODAY()),MONTH(TODAY()),1),1,0))</f>
        <v>1</v>
      </c>
    </row>
    <row r="14" customFormat="false" ht="15" hidden="false" customHeight="false" outlineLevel="0" collapsed="false">
      <c r="A14" s="41" t="n">
        <v>46174</v>
      </c>
      <c r="B14" s="42" t="n">
        <v>9281.91</v>
      </c>
      <c r="C14" s="42" t="n">
        <v>1360.91</v>
      </c>
      <c r="D14" s="42" t="n">
        <v>55001.69</v>
      </c>
      <c r="E14" s="28" t="n">
        <v>0</v>
      </c>
      <c r="F14" s="28" t="n">
        <v>0</v>
      </c>
      <c r="G14" s="43" t="n">
        <f aca="false">IF(A14="","",SUMIFS(MOVIMIENTOS!$E$4:$E$20000,MOVIMIENTOS!$B$4:$B$20000,A14,MOVIMIENTOS!$H$4:$H$20000,"Ingreso")+SUMIFS(FLEXIBLE!$D$4:$D$200,FLEXIBLE!$F$4:$F$200,A14))</f>
        <v>4492.75</v>
      </c>
      <c r="H14" s="43" t="n">
        <f aca="false">IF(A14="","",-SUMIFS(MOVIMIENTOS!$E$4:$E$20000,MOVIMIENTOS!$B$4:$B$20000,A14,MOVIMIENTOS!$H$4:$H$20000,"Gasto")+SUMIFS(FLEXIBLE!$D$4:$D$200,FLEXIBLE!$F$4:$F$200,A14))</f>
        <v>1703.73</v>
      </c>
      <c r="I14" s="43" t="n">
        <f aca="false">IF(A14="","",G14-H14)</f>
        <v>2789.02</v>
      </c>
      <c r="J14" s="44" t="n">
        <f aca="false">IF(A14="","",IF(N14=0,"en curso",IF(N(G14)=0,"",I14/G14)))</f>
        <v>0.620782371598687</v>
      </c>
      <c r="K14" s="43" t="n">
        <f aca="false">IF(A14="","",SUM(B14:F14))</f>
        <v>65644.51</v>
      </c>
      <c r="L14" s="45" t="n">
        <f aca="false">IF(A14="","",YEAR(A14))</f>
        <v>2026</v>
      </c>
      <c r="M14" s="45" t="n">
        <f aca="false">IF(A14="","",COUNTIFS(MOVIMIENTOS!$B$4:$B$20000,A14,MOVIMIENTOS!$H$4:$H$20000,"Por revisar"))</f>
        <v>0</v>
      </c>
      <c r="N14" s="45" t="n">
        <f aca="true">IF(A14="","",IF(A14&lt;DATE(YEAR(TODAY()),MONTH(TODAY()),1),1,0))</f>
        <v>1</v>
      </c>
    </row>
    <row r="15" customFormat="false" ht="15" hidden="false" customHeight="false" outlineLevel="0" collapsed="false">
      <c r="A15" s="41" t="n">
        <v>46204</v>
      </c>
      <c r="B15" s="42" t="n">
        <v>9973.79</v>
      </c>
      <c r="C15" s="42" t="n">
        <v>1396.85</v>
      </c>
      <c r="D15" s="42" t="n">
        <v>55336.25</v>
      </c>
      <c r="E15" s="28" t="n">
        <v>0</v>
      </c>
      <c r="F15" s="28" t="n">
        <v>0</v>
      </c>
      <c r="G15" s="43" t="n">
        <f aca="false">IF(A15="","",SUMIFS(MOVIMIENTOS!$E$4:$E$20000,MOVIMIENTOS!$B$4:$B$20000,A15,MOVIMIENTOS!$H$4:$H$20000,"Ingreso")+SUMIFS(FLEXIBLE!$D$4:$D$200,FLEXIBLE!$F$4:$F$200,A15))</f>
        <v>2768.17</v>
      </c>
      <c r="H15" s="43" t="n">
        <f aca="false">IF(A15="","",-SUMIFS(MOVIMIENTOS!$E$4:$E$20000,MOVIMIENTOS!$B$4:$B$20000,A15,MOVIMIENTOS!$H$4:$H$20000,"Gasto")+SUMIFS(FLEXIBLE!$D$4:$D$200,FLEXIBLE!$F$4:$F$200,A15))</f>
        <v>1750.81</v>
      </c>
      <c r="I15" s="43" t="n">
        <f aca="false">IF(A15="","",G15-H15)</f>
        <v>1017.36</v>
      </c>
      <c r="J15" s="44" t="n">
        <f aca="false">IF(A15="","",IF(N15=0,"en curso",IF(N(G15)=0,"",I15/G15)))</f>
        <v>0.367520780876897</v>
      </c>
      <c r="K15" s="43" t="n">
        <f aca="false">IF(A15="","",SUM(B15:F15))</f>
        <v>66706.89</v>
      </c>
      <c r="L15" s="45" t="n">
        <f aca="false">IF(A15="","",YEAR(A15))</f>
        <v>2026</v>
      </c>
      <c r="M15" s="45" t="n">
        <f aca="false">IF(A15="","",COUNTIFS(MOVIMIENTOS!$B$4:$B$20000,A15,MOVIMIENTOS!$H$4:$H$20000,"Por revisar"))</f>
        <v>0</v>
      </c>
      <c r="N15" s="45" t="n">
        <f aca="true">IF(A15="","",IF(A15&lt;DATE(YEAR(TODAY()),MONTH(TODAY()),1),1,0))</f>
        <v>1</v>
      </c>
    </row>
    <row r="16" customFormat="false" ht="15" hidden="false" customHeight="false" outlineLevel="0" collapsed="false">
      <c r="A16" s="41" t="n">
        <v>46235</v>
      </c>
      <c r="B16" s="42" t="n">
        <v>10211.08</v>
      </c>
      <c r="C16" s="42" t="n">
        <v>1387.77</v>
      </c>
      <c r="D16" s="42" t="n">
        <v>55671.02</v>
      </c>
      <c r="E16" s="28" t="n">
        <v>0</v>
      </c>
      <c r="F16" s="28" t="n">
        <v>0</v>
      </c>
      <c r="G16" s="43" t="n">
        <f aca="false">IF(A16="","",SUMIFS(MOVIMIENTOS!$E$4:$E$20000,MOVIMIENTOS!$B$4:$B$20000,A16,MOVIMIENTOS!$H$4:$H$20000,"Ingreso")+SUMIFS(FLEXIBLE!$D$4:$D$200,FLEXIBLE!$F$4:$F$200,A16))</f>
        <v>2300.87</v>
      </c>
      <c r="H16" s="43" t="n">
        <f aca="false">IF(A16="","",-SUMIFS(MOVIMIENTOS!$E$4:$E$20000,MOVIMIENTOS!$B$4:$B$20000,A16,MOVIMIENTOS!$H$4:$H$20000,"Gasto")+SUMIFS(FLEXIBLE!$D$4:$D$200,FLEXIBLE!$F$4:$F$200,A16))</f>
        <v>1666.68</v>
      </c>
      <c r="I16" s="43" t="n">
        <f aca="false">IF(A16="","",G16-H16)</f>
        <v>634.19</v>
      </c>
      <c r="J16" s="44" t="n">
        <f aca="false">IF(A16="","",IF(N16=0,"en curso",IF(N(G16)=0,"",I16/G16)))</f>
        <v>0.275630522367626</v>
      </c>
      <c r="K16" s="43" t="n">
        <f aca="false">IF(A16="","",SUM(B16:F16))</f>
        <v>67269.87</v>
      </c>
      <c r="L16" s="45" t="n">
        <f aca="false">IF(A16="","",YEAR(A16))</f>
        <v>2026</v>
      </c>
      <c r="M16" s="45" t="n">
        <f aca="false">IF(A16="","",COUNTIFS(MOVIMIENTOS!$B$4:$B$20000,A16,MOVIMIENTOS!$H$4:$H$20000,"Por revisar"))</f>
        <v>0</v>
      </c>
      <c r="N16" s="45" t="n">
        <f aca="true">IF(A16="","",IF(A16&lt;DATE(YEAR(TODAY()),MONTH(TODAY()),1),1,0))</f>
        <v>1</v>
      </c>
    </row>
    <row r="17" customFormat="false" ht="15" hidden="false" customHeight="false" outlineLevel="0" collapsed="false">
      <c r="A17" s="41" t="n">
        <v>46266</v>
      </c>
      <c r="B17" s="42" t="n">
        <v>10501.16</v>
      </c>
      <c r="C17" s="42" t="n">
        <v>1449.9</v>
      </c>
      <c r="D17" s="42" t="n">
        <v>56006</v>
      </c>
      <c r="E17" s="28" t="n">
        <v>0</v>
      </c>
      <c r="F17" s="28" t="n">
        <v>0</v>
      </c>
      <c r="G17" s="43" t="n">
        <f aca="false">IF(A17="","",SUMIFS(MOVIMIENTOS!$E$4:$E$20000,MOVIMIENTOS!$B$4:$B$20000,A17,MOVIMIENTOS!$H$4:$H$20000,"Ingreso")+SUMIFS(FLEXIBLE!$D$4:$D$200,FLEXIBLE!$F$4:$F$200,A17))</f>
        <v>2349.78</v>
      </c>
      <c r="H17" s="43" t="n">
        <f aca="false">IF(A17="","",-SUMIFS(MOVIMIENTOS!$E$4:$E$20000,MOVIMIENTOS!$B$4:$B$20000,A17,MOVIMIENTOS!$H$4:$H$20000,"Gasto")+SUMIFS(FLEXIBLE!$D$4:$D$200,FLEXIBLE!$F$4:$F$200,A17))</f>
        <v>1679.46</v>
      </c>
      <c r="I17" s="43" t="n">
        <f aca="false">IF(A17="","",G17-H17)</f>
        <v>670.32</v>
      </c>
      <c r="J17" s="44" t="n">
        <f aca="false">IF(A17="","",IF(N17=0,"en curso",IF(N(G17)=0,"",I17/G17)))</f>
        <v>0.285269259249802</v>
      </c>
      <c r="K17" s="43" t="n">
        <f aca="false">IF(A17="","",SUM(B17:F17))</f>
        <v>67957.06</v>
      </c>
      <c r="L17" s="45" t="n">
        <f aca="false">IF(A17="","",YEAR(A17))</f>
        <v>2026</v>
      </c>
      <c r="M17" s="45" t="n">
        <f aca="false">IF(A17="","",COUNTIFS(MOVIMIENTOS!$B$4:$B$20000,A17,MOVIMIENTOS!$H$4:$H$20000,"Por revisar"))</f>
        <v>2</v>
      </c>
      <c r="N17" s="45" t="n">
        <f aca="true">IF(A17="","",IF(A17&lt;DATE(YEAR(TODAY()),MONTH(TODAY()),1),1,0))</f>
        <v>1</v>
      </c>
    </row>
    <row r="18" customFormat="false" ht="15" hidden="false" customHeight="false" outlineLevel="0" collapsed="false">
      <c r="G18" s="43" t="str">
        <f aca="false">IF(A18="","",SUMIFS(MOVIMIENTOS!$E$4:$E$20000,MOVIMIENTOS!$B$4:$B$20000,A18,MOVIMIENTOS!$H$4:$H$20000,"Ingreso")+SUMIFS(FLEXIBLE!$D$4:$D$200,FLEXIBLE!$F$4:$F$200,A18))</f>
        <v/>
      </c>
      <c r="H18" s="43" t="str">
        <f aca="false">IF(A18="","",-SUMIFS(MOVIMIENTOS!$E$4:$E$20000,MOVIMIENTOS!$B$4:$B$20000,A18,MOVIMIENTOS!$H$4:$H$20000,"Gasto")+SUMIFS(FLEXIBLE!$D$4:$D$200,FLEXIBLE!$F$4:$F$200,A18))</f>
        <v/>
      </c>
      <c r="I18" s="43" t="str">
        <f aca="false">IF(A18="","",G18-H18)</f>
        <v/>
      </c>
      <c r="J18" s="44" t="str">
        <f aca="false">IF(A18="","",IF(N18=0,"en curso",IF(N(G18)=0,"",I18/G18)))</f>
        <v/>
      </c>
      <c r="K18" s="43" t="str">
        <f aca="false">IF(A18="","",SUM(B18:F18))</f>
        <v/>
      </c>
      <c r="L18" s="45" t="str">
        <f aca="false">IF(A18="","",YEAR(A18))</f>
        <v/>
      </c>
      <c r="M18" s="45" t="str">
        <f aca="false">IF(A18="","",COUNTIFS(MOVIMIENTOS!$B$4:$B$20000,A18,MOVIMIENTOS!$H$4:$H$20000,"Por revisar"))</f>
        <v/>
      </c>
      <c r="N18" s="45" t="str">
        <f aca="true">IF(A18="","",IF(A18&lt;DATE(YEAR(TODAY()),MONTH(TODAY()),1),1,0))</f>
        <v/>
      </c>
    </row>
    <row r="19" customFormat="false" ht="15" hidden="false" customHeight="false" outlineLevel="0" collapsed="false">
      <c r="G19" s="43" t="str">
        <f aca="false">IF(A19="","",SUMIFS(MOVIMIENTOS!$E$4:$E$20000,MOVIMIENTOS!$B$4:$B$20000,A19,MOVIMIENTOS!$H$4:$H$20000,"Ingreso")+SUMIFS(FLEXIBLE!$D$4:$D$200,FLEXIBLE!$F$4:$F$200,A19))</f>
        <v/>
      </c>
      <c r="H19" s="43" t="str">
        <f aca="false">IF(A19="","",-SUMIFS(MOVIMIENTOS!$E$4:$E$20000,MOVIMIENTOS!$B$4:$B$20000,A19,MOVIMIENTOS!$H$4:$H$20000,"Gasto")+SUMIFS(FLEXIBLE!$D$4:$D$200,FLEXIBLE!$F$4:$F$200,A19))</f>
        <v/>
      </c>
      <c r="I19" s="43" t="str">
        <f aca="false">IF(A19="","",G19-H19)</f>
        <v/>
      </c>
      <c r="J19" s="44" t="str">
        <f aca="false">IF(A19="","",IF(N19=0,"en curso",IF(N(G19)=0,"",I19/G19)))</f>
        <v/>
      </c>
      <c r="K19" s="43" t="str">
        <f aca="false">IF(A19="","",SUM(B19:F19))</f>
        <v/>
      </c>
      <c r="L19" s="45" t="str">
        <f aca="false">IF(A19="","",YEAR(A19))</f>
        <v/>
      </c>
      <c r="M19" s="45" t="str">
        <f aca="false">IF(A19="","",COUNTIFS(MOVIMIENTOS!$B$4:$B$20000,A19,MOVIMIENTOS!$H$4:$H$20000,"Por revisar"))</f>
        <v/>
      </c>
      <c r="N19" s="45" t="str">
        <f aca="true">IF(A19="","",IF(A19&lt;DATE(YEAR(TODAY()),MONTH(TODAY()),1),1,0))</f>
        <v/>
      </c>
    </row>
    <row r="20" customFormat="false" ht="15" hidden="false" customHeight="false" outlineLevel="0" collapsed="false">
      <c r="G20" s="43" t="str">
        <f aca="false">IF(A20="","",SUMIFS(MOVIMIENTOS!$E$4:$E$20000,MOVIMIENTOS!$B$4:$B$20000,A20,MOVIMIENTOS!$H$4:$H$20000,"Ingreso")+SUMIFS(FLEXIBLE!$D$4:$D$200,FLEXIBLE!$F$4:$F$200,A20))</f>
        <v/>
      </c>
      <c r="H20" s="43" t="str">
        <f aca="false">IF(A20="","",-SUMIFS(MOVIMIENTOS!$E$4:$E$20000,MOVIMIENTOS!$B$4:$B$20000,A20,MOVIMIENTOS!$H$4:$H$20000,"Gasto")+SUMIFS(FLEXIBLE!$D$4:$D$200,FLEXIBLE!$F$4:$F$200,A20))</f>
        <v/>
      </c>
      <c r="I20" s="43" t="str">
        <f aca="false">IF(A20="","",G20-H20)</f>
        <v/>
      </c>
      <c r="J20" s="44" t="str">
        <f aca="false">IF(A20="","",IF(N20=0,"en curso",IF(N(G20)=0,"",I20/G20)))</f>
        <v/>
      </c>
      <c r="K20" s="43" t="str">
        <f aca="false">IF(A20="","",SUM(B20:F20))</f>
        <v/>
      </c>
      <c r="L20" s="45" t="str">
        <f aca="false">IF(A20="","",YEAR(A20))</f>
        <v/>
      </c>
      <c r="M20" s="45" t="str">
        <f aca="false">IF(A20="","",COUNTIFS(MOVIMIENTOS!$B$4:$B$20000,A20,MOVIMIENTOS!$H$4:$H$20000,"Por revisar"))</f>
        <v/>
      </c>
      <c r="N20" s="45" t="str">
        <f aca="true">IF(A20="","",IF(A20&lt;DATE(YEAR(TODAY()),MONTH(TODAY()),1),1,0))</f>
        <v/>
      </c>
    </row>
    <row r="21" customFormat="false" ht="15" hidden="false" customHeight="false" outlineLevel="0" collapsed="false">
      <c r="G21" s="43" t="str">
        <f aca="false">IF(A21="","",SUMIFS(MOVIMIENTOS!$E$4:$E$20000,MOVIMIENTOS!$B$4:$B$20000,A21,MOVIMIENTOS!$H$4:$H$20000,"Ingreso")+SUMIFS(FLEXIBLE!$D$4:$D$200,FLEXIBLE!$F$4:$F$200,A21))</f>
        <v/>
      </c>
      <c r="H21" s="43" t="str">
        <f aca="false">IF(A21="","",-SUMIFS(MOVIMIENTOS!$E$4:$E$20000,MOVIMIENTOS!$B$4:$B$20000,A21,MOVIMIENTOS!$H$4:$H$20000,"Gasto")+SUMIFS(FLEXIBLE!$D$4:$D$200,FLEXIBLE!$F$4:$F$200,A21))</f>
        <v/>
      </c>
      <c r="I21" s="43" t="str">
        <f aca="false">IF(A21="","",G21-H21)</f>
        <v/>
      </c>
      <c r="J21" s="44" t="str">
        <f aca="false">IF(A21="","",IF(N21=0,"en curso",IF(N(G21)=0,"",I21/G21)))</f>
        <v/>
      </c>
      <c r="K21" s="43" t="str">
        <f aca="false">IF(A21="","",SUM(B21:F21))</f>
        <v/>
      </c>
      <c r="L21" s="45" t="str">
        <f aca="false">IF(A21="","",YEAR(A21))</f>
        <v/>
      </c>
      <c r="M21" s="45" t="str">
        <f aca="false">IF(A21="","",COUNTIFS(MOVIMIENTOS!$B$4:$B$20000,A21,MOVIMIENTOS!$H$4:$H$20000,"Por revisar"))</f>
        <v/>
      </c>
      <c r="N21" s="45" t="str">
        <f aca="true">IF(A21="","",IF(A21&lt;DATE(YEAR(TODAY()),MONTH(TODAY()),1),1,0))</f>
        <v/>
      </c>
    </row>
    <row r="22" customFormat="false" ht="15" hidden="false" customHeight="false" outlineLevel="0" collapsed="false">
      <c r="G22" s="43" t="str">
        <f aca="false">IF(A22="","",SUMIFS(MOVIMIENTOS!$E$4:$E$20000,MOVIMIENTOS!$B$4:$B$20000,A22,MOVIMIENTOS!$H$4:$H$20000,"Ingreso")+SUMIFS(FLEXIBLE!$D$4:$D$200,FLEXIBLE!$F$4:$F$200,A22))</f>
        <v/>
      </c>
      <c r="H22" s="43" t="str">
        <f aca="false">IF(A22="","",-SUMIFS(MOVIMIENTOS!$E$4:$E$20000,MOVIMIENTOS!$B$4:$B$20000,A22,MOVIMIENTOS!$H$4:$H$20000,"Gasto")+SUMIFS(FLEXIBLE!$D$4:$D$200,FLEXIBLE!$F$4:$F$200,A22))</f>
        <v/>
      </c>
      <c r="I22" s="43" t="str">
        <f aca="false">IF(A22="","",G22-H22)</f>
        <v/>
      </c>
      <c r="J22" s="44" t="str">
        <f aca="false">IF(A22="","",IF(N22=0,"en curso",IF(N(G22)=0,"",I22/G22)))</f>
        <v/>
      </c>
      <c r="K22" s="43" t="str">
        <f aca="false">IF(A22="","",SUM(B22:F22))</f>
        <v/>
      </c>
      <c r="L22" s="45" t="str">
        <f aca="false">IF(A22="","",YEAR(A22))</f>
        <v/>
      </c>
      <c r="M22" s="45" t="str">
        <f aca="false">IF(A22="","",COUNTIFS(MOVIMIENTOS!$B$4:$B$20000,A22,MOVIMIENTOS!$H$4:$H$20000,"Por revisar"))</f>
        <v/>
      </c>
      <c r="N22" s="45" t="str">
        <f aca="true">IF(A22="","",IF(A22&lt;DATE(YEAR(TODAY()),MONTH(TODAY()),1),1,0))</f>
        <v/>
      </c>
    </row>
    <row r="23" customFormat="false" ht="15" hidden="false" customHeight="false" outlineLevel="0" collapsed="false">
      <c r="G23" s="43" t="str">
        <f aca="false">IF(A23="","",SUMIFS(MOVIMIENTOS!$E$4:$E$20000,MOVIMIENTOS!$B$4:$B$20000,A23,MOVIMIENTOS!$H$4:$H$20000,"Ingreso")+SUMIFS(FLEXIBLE!$D$4:$D$200,FLEXIBLE!$F$4:$F$200,A23))</f>
        <v/>
      </c>
      <c r="H23" s="43" t="str">
        <f aca="false">IF(A23="","",-SUMIFS(MOVIMIENTOS!$E$4:$E$20000,MOVIMIENTOS!$B$4:$B$20000,A23,MOVIMIENTOS!$H$4:$H$20000,"Gasto")+SUMIFS(FLEXIBLE!$D$4:$D$200,FLEXIBLE!$F$4:$F$200,A23))</f>
        <v/>
      </c>
      <c r="I23" s="43" t="str">
        <f aca="false">IF(A23="","",G23-H23)</f>
        <v/>
      </c>
      <c r="J23" s="44" t="str">
        <f aca="false">IF(A23="","",IF(N23=0,"en curso",IF(N(G23)=0,"",I23/G23)))</f>
        <v/>
      </c>
      <c r="K23" s="43" t="str">
        <f aca="false">IF(A23="","",SUM(B23:F23))</f>
        <v/>
      </c>
      <c r="L23" s="45" t="str">
        <f aca="false">IF(A23="","",YEAR(A23))</f>
        <v/>
      </c>
      <c r="M23" s="45" t="str">
        <f aca="false">IF(A23="","",COUNTIFS(MOVIMIENTOS!$B$4:$B$20000,A23,MOVIMIENTOS!$H$4:$H$20000,"Por revisar"))</f>
        <v/>
      </c>
      <c r="N23" s="45" t="str">
        <f aca="true">IF(A23="","",IF(A23&lt;DATE(YEAR(TODAY()),MONTH(TODAY()),1),1,0))</f>
        <v/>
      </c>
    </row>
    <row r="24" customFormat="false" ht="15" hidden="false" customHeight="false" outlineLevel="0" collapsed="false">
      <c r="G24" s="43" t="str">
        <f aca="false">IF(A24="","",SUMIFS(MOVIMIENTOS!$E$4:$E$20000,MOVIMIENTOS!$B$4:$B$20000,A24,MOVIMIENTOS!$H$4:$H$20000,"Ingreso")+SUMIFS(FLEXIBLE!$D$4:$D$200,FLEXIBLE!$F$4:$F$200,A24))</f>
        <v/>
      </c>
      <c r="H24" s="43" t="str">
        <f aca="false">IF(A24="","",-SUMIFS(MOVIMIENTOS!$E$4:$E$20000,MOVIMIENTOS!$B$4:$B$20000,A24,MOVIMIENTOS!$H$4:$H$20000,"Gasto")+SUMIFS(FLEXIBLE!$D$4:$D$200,FLEXIBLE!$F$4:$F$200,A24))</f>
        <v/>
      </c>
      <c r="I24" s="43" t="str">
        <f aca="false">IF(A24="","",G24-H24)</f>
        <v/>
      </c>
      <c r="J24" s="44" t="str">
        <f aca="false">IF(A24="","",IF(N24=0,"en curso",IF(N(G24)=0,"",I24/G24)))</f>
        <v/>
      </c>
      <c r="K24" s="43" t="str">
        <f aca="false">IF(A24="","",SUM(B24:F24))</f>
        <v/>
      </c>
      <c r="L24" s="45" t="str">
        <f aca="false">IF(A24="","",YEAR(A24))</f>
        <v/>
      </c>
      <c r="M24" s="45" t="str">
        <f aca="false">IF(A24="","",COUNTIFS(MOVIMIENTOS!$B$4:$B$20000,A24,MOVIMIENTOS!$H$4:$H$20000,"Por revisar"))</f>
        <v/>
      </c>
      <c r="N24" s="45" t="str">
        <f aca="true">IF(A24="","",IF(A24&lt;DATE(YEAR(TODAY()),MONTH(TODAY()),1),1,0))</f>
        <v/>
      </c>
    </row>
    <row r="25" customFormat="false" ht="15" hidden="false" customHeight="false" outlineLevel="0" collapsed="false">
      <c r="G25" s="43" t="str">
        <f aca="false">IF(A25="","",SUMIFS(MOVIMIENTOS!$E$4:$E$20000,MOVIMIENTOS!$B$4:$B$20000,A25,MOVIMIENTOS!$H$4:$H$20000,"Ingreso")+SUMIFS(FLEXIBLE!$D$4:$D$200,FLEXIBLE!$F$4:$F$200,A25))</f>
        <v/>
      </c>
      <c r="H25" s="43" t="str">
        <f aca="false">IF(A25="","",-SUMIFS(MOVIMIENTOS!$E$4:$E$20000,MOVIMIENTOS!$B$4:$B$20000,A25,MOVIMIENTOS!$H$4:$H$20000,"Gasto")+SUMIFS(FLEXIBLE!$D$4:$D$200,FLEXIBLE!$F$4:$F$200,A25))</f>
        <v/>
      </c>
      <c r="I25" s="43" t="str">
        <f aca="false">IF(A25="","",G25-H25)</f>
        <v/>
      </c>
      <c r="J25" s="44" t="str">
        <f aca="false">IF(A25="","",IF(N25=0,"en curso",IF(N(G25)=0,"",I25/G25)))</f>
        <v/>
      </c>
      <c r="K25" s="43" t="str">
        <f aca="false">IF(A25="","",SUM(B25:F25))</f>
        <v/>
      </c>
      <c r="L25" s="45" t="str">
        <f aca="false">IF(A25="","",YEAR(A25))</f>
        <v/>
      </c>
      <c r="M25" s="45" t="str">
        <f aca="false">IF(A25="","",COUNTIFS(MOVIMIENTOS!$B$4:$B$20000,A25,MOVIMIENTOS!$H$4:$H$20000,"Por revisar"))</f>
        <v/>
      </c>
      <c r="N25" s="45" t="str">
        <f aca="true">IF(A25="","",IF(A25&lt;DATE(YEAR(TODAY()),MONTH(TODAY()),1),1,0))</f>
        <v/>
      </c>
    </row>
    <row r="26" customFormat="false" ht="15" hidden="false" customHeight="false" outlineLevel="0" collapsed="false">
      <c r="G26" s="43" t="str">
        <f aca="false">IF(A26="","",SUMIFS(MOVIMIENTOS!$E$4:$E$20000,MOVIMIENTOS!$B$4:$B$20000,A26,MOVIMIENTOS!$H$4:$H$20000,"Ingreso")+SUMIFS(FLEXIBLE!$D$4:$D$200,FLEXIBLE!$F$4:$F$200,A26))</f>
        <v/>
      </c>
      <c r="H26" s="43" t="str">
        <f aca="false">IF(A26="","",-SUMIFS(MOVIMIENTOS!$E$4:$E$20000,MOVIMIENTOS!$B$4:$B$20000,A26,MOVIMIENTOS!$H$4:$H$20000,"Gasto")+SUMIFS(FLEXIBLE!$D$4:$D$200,FLEXIBLE!$F$4:$F$200,A26))</f>
        <v/>
      </c>
      <c r="I26" s="43" t="str">
        <f aca="false">IF(A26="","",G26-H26)</f>
        <v/>
      </c>
      <c r="J26" s="44" t="str">
        <f aca="false">IF(A26="","",IF(N26=0,"en curso",IF(N(G26)=0,"",I26/G26)))</f>
        <v/>
      </c>
      <c r="K26" s="43" t="str">
        <f aca="false">IF(A26="","",SUM(B26:F26))</f>
        <v/>
      </c>
      <c r="L26" s="45" t="str">
        <f aca="false">IF(A26="","",YEAR(A26))</f>
        <v/>
      </c>
      <c r="M26" s="45" t="str">
        <f aca="false">IF(A26="","",COUNTIFS(MOVIMIENTOS!$B$4:$B$20000,A26,MOVIMIENTOS!$H$4:$H$20000,"Por revisar"))</f>
        <v/>
      </c>
      <c r="N26" s="45" t="str">
        <f aca="true">IF(A26="","",IF(A26&lt;DATE(YEAR(TODAY()),MONTH(TODAY()),1),1,0))</f>
        <v/>
      </c>
    </row>
    <row r="27" customFormat="false" ht="15" hidden="false" customHeight="false" outlineLevel="0" collapsed="false">
      <c r="G27" s="43" t="str">
        <f aca="false">IF(A27="","",SUMIFS(MOVIMIENTOS!$E$4:$E$20000,MOVIMIENTOS!$B$4:$B$20000,A27,MOVIMIENTOS!$H$4:$H$20000,"Ingreso")+SUMIFS(FLEXIBLE!$D$4:$D$200,FLEXIBLE!$F$4:$F$200,A27))</f>
        <v/>
      </c>
      <c r="H27" s="43" t="str">
        <f aca="false">IF(A27="","",-SUMIFS(MOVIMIENTOS!$E$4:$E$20000,MOVIMIENTOS!$B$4:$B$20000,A27,MOVIMIENTOS!$H$4:$H$20000,"Gasto")+SUMIFS(FLEXIBLE!$D$4:$D$200,FLEXIBLE!$F$4:$F$200,A27))</f>
        <v/>
      </c>
      <c r="I27" s="43" t="str">
        <f aca="false">IF(A27="","",G27-H27)</f>
        <v/>
      </c>
      <c r="J27" s="44" t="str">
        <f aca="false">IF(A27="","",IF(N27=0,"en curso",IF(N(G27)=0,"",I27/G27)))</f>
        <v/>
      </c>
      <c r="K27" s="43" t="str">
        <f aca="false">IF(A27="","",SUM(B27:F27))</f>
        <v/>
      </c>
      <c r="L27" s="45" t="str">
        <f aca="false">IF(A27="","",YEAR(A27))</f>
        <v/>
      </c>
      <c r="M27" s="45" t="str">
        <f aca="false">IF(A27="","",COUNTIFS(MOVIMIENTOS!$B$4:$B$20000,A27,MOVIMIENTOS!$H$4:$H$20000,"Por revisar"))</f>
        <v/>
      </c>
      <c r="N27" s="45" t="str">
        <f aca="true">IF(A27="","",IF(A27&lt;DATE(YEAR(TODAY()),MONTH(TODAY()),1),1,0))</f>
        <v/>
      </c>
    </row>
    <row r="28" customFormat="false" ht="15" hidden="false" customHeight="false" outlineLevel="0" collapsed="false">
      <c r="G28" s="43" t="str">
        <f aca="false">IF(A28="","",SUMIFS(MOVIMIENTOS!$E$4:$E$20000,MOVIMIENTOS!$B$4:$B$20000,A28,MOVIMIENTOS!$H$4:$H$20000,"Ingreso")+SUMIFS(FLEXIBLE!$D$4:$D$200,FLEXIBLE!$F$4:$F$200,A28))</f>
        <v/>
      </c>
      <c r="H28" s="43" t="str">
        <f aca="false">IF(A28="","",-SUMIFS(MOVIMIENTOS!$E$4:$E$20000,MOVIMIENTOS!$B$4:$B$20000,A28,MOVIMIENTOS!$H$4:$H$20000,"Gasto")+SUMIFS(FLEXIBLE!$D$4:$D$200,FLEXIBLE!$F$4:$F$200,A28))</f>
        <v/>
      </c>
      <c r="I28" s="43" t="str">
        <f aca="false">IF(A28="","",G28-H28)</f>
        <v/>
      </c>
      <c r="J28" s="44" t="str">
        <f aca="false">IF(A28="","",IF(N28=0,"en curso",IF(N(G28)=0,"",I28/G28)))</f>
        <v/>
      </c>
      <c r="K28" s="43" t="str">
        <f aca="false">IF(A28="","",SUM(B28:F28))</f>
        <v/>
      </c>
      <c r="L28" s="45" t="str">
        <f aca="false">IF(A28="","",YEAR(A28))</f>
        <v/>
      </c>
      <c r="M28" s="45" t="str">
        <f aca="false">IF(A28="","",COUNTIFS(MOVIMIENTOS!$B$4:$B$20000,A28,MOVIMIENTOS!$H$4:$H$20000,"Por revisar"))</f>
        <v/>
      </c>
      <c r="N28" s="45" t="str">
        <f aca="true">IF(A28="","",IF(A28&lt;DATE(YEAR(TODAY()),MONTH(TODAY()),1),1,0))</f>
        <v/>
      </c>
    </row>
    <row r="29" customFormat="false" ht="15" hidden="false" customHeight="false" outlineLevel="0" collapsed="false">
      <c r="G29" s="43" t="str">
        <f aca="false">IF(A29="","",SUMIFS(MOVIMIENTOS!$E$4:$E$20000,MOVIMIENTOS!$B$4:$B$20000,A29,MOVIMIENTOS!$H$4:$H$20000,"Ingreso")+SUMIFS(FLEXIBLE!$D$4:$D$200,FLEXIBLE!$F$4:$F$200,A29))</f>
        <v/>
      </c>
      <c r="H29" s="43" t="str">
        <f aca="false">IF(A29="","",-SUMIFS(MOVIMIENTOS!$E$4:$E$20000,MOVIMIENTOS!$B$4:$B$20000,A29,MOVIMIENTOS!$H$4:$H$20000,"Gasto")+SUMIFS(FLEXIBLE!$D$4:$D$200,FLEXIBLE!$F$4:$F$200,A29))</f>
        <v/>
      </c>
      <c r="I29" s="43" t="str">
        <f aca="false">IF(A29="","",G29-H29)</f>
        <v/>
      </c>
      <c r="J29" s="44" t="str">
        <f aca="false">IF(A29="","",IF(N29=0,"en curso",IF(N(G29)=0,"",I29/G29)))</f>
        <v/>
      </c>
      <c r="K29" s="43" t="str">
        <f aca="false">IF(A29="","",SUM(B29:F29))</f>
        <v/>
      </c>
      <c r="L29" s="45" t="str">
        <f aca="false">IF(A29="","",YEAR(A29))</f>
        <v/>
      </c>
      <c r="M29" s="45" t="str">
        <f aca="false">IF(A29="","",COUNTIFS(MOVIMIENTOS!$B$4:$B$20000,A29,MOVIMIENTOS!$H$4:$H$20000,"Por revisar"))</f>
        <v/>
      </c>
      <c r="N29" s="45" t="str">
        <f aca="true">IF(A29="","",IF(A29&lt;DATE(YEAR(TODAY()),MONTH(TODAY()),1),1,0))</f>
        <v/>
      </c>
    </row>
    <row r="30" customFormat="false" ht="15" hidden="false" customHeight="false" outlineLevel="0" collapsed="false">
      <c r="G30" s="43" t="str">
        <f aca="false">IF(A30="","",SUMIFS(MOVIMIENTOS!$E$4:$E$20000,MOVIMIENTOS!$B$4:$B$20000,A30,MOVIMIENTOS!$H$4:$H$20000,"Ingreso")+SUMIFS(FLEXIBLE!$D$4:$D$200,FLEXIBLE!$F$4:$F$200,A30))</f>
        <v/>
      </c>
      <c r="H30" s="43" t="str">
        <f aca="false">IF(A30="","",-SUMIFS(MOVIMIENTOS!$E$4:$E$20000,MOVIMIENTOS!$B$4:$B$20000,A30,MOVIMIENTOS!$H$4:$H$20000,"Gasto")+SUMIFS(FLEXIBLE!$D$4:$D$200,FLEXIBLE!$F$4:$F$200,A30))</f>
        <v/>
      </c>
      <c r="I30" s="43" t="str">
        <f aca="false">IF(A30="","",G30-H30)</f>
        <v/>
      </c>
      <c r="J30" s="44" t="str">
        <f aca="false">IF(A30="","",IF(N30=0,"en curso",IF(N(G30)=0,"",I30/G30)))</f>
        <v/>
      </c>
      <c r="K30" s="43" t="str">
        <f aca="false">IF(A30="","",SUM(B30:F30))</f>
        <v/>
      </c>
      <c r="L30" s="45" t="str">
        <f aca="false">IF(A30="","",YEAR(A30))</f>
        <v/>
      </c>
      <c r="M30" s="45" t="str">
        <f aca="false">IF(A30="","",COUNTIFS(MOVIMIENTOS!$B$4:$B$20000,A30,MOVIMIENTOS!$H$4:$H$20000,"Por revisar"))</f>
        <v/>
      </c>
      <c r="N30" s="45" t="str">
        <f aca="true">IF(A30="","",IF(A30&lt;DATE(YEAR(TODAY()),MONTH(TODAY()),1),1,0))</f>
        <v/>
      </c>
    </row>
    <row r="31" customFormat="false" ht="15" hidden="false" customHeight="false" outlineLevel="0" collapsed="false">
      <c r="G31" s="43" t="str">
        <f aca="false">IF(A31="","",SUMIFS(MOVIMIENTOS!$E$4:$E$20000,MOVIMIENTOS!$B$4:$B$20000,A31,MOVIMIENTOS!$H$4:$H$20000,"Ingreso")+SUMIFS(FLEXIBLE!$D$4:$D$200,FLEXIBLE!$F$4:$F$200,A31))</f>
        <v/>
      </c>
      <c r="H31" s="43" t="str">
        <f aca="false">IF(A31="","",-SUMIFS(MOVIMIENTOS!$E$4:$E$20000,MOVIMIENTOS!$B$4:$B$20000,A31,MOVIMIENTOS!$H$4:$H$20000,"Gasto")+SUMIFS(FLEXIBLE!$D$4:$D$200,FLEXIBLE!$F$4:$F$200,A31))</f>
        <v/>
      </c>
      <c r="I31" s="43" t="str">
        <f aca="false">IF(A31="","",G31-H31)</f>
        <v/>
      </c>
      <c r="J31" s="44" t="str">
        <f aca="false">IF(A31="","",IF(N31=0,"en curso",IF(N(G31)=0,"",I31/G31)))</f>
        <v/>
      </c>
      <c r="K31" s="43" t="str">
        <f aca="false">IF(A31="","",SUM(B31:F31))</f>
        <v/>
      </c>
      <c r="L31" s="45" t="str">
        <f aca="false">IF(A31="","",YEAR(A31))</f>
        <v/>
      </c>
      <c r="M31" s="45" t="str">
        <f aca="false">IF(A31="","",COUNTIFS(MOVIMIENTOS!$B$4:$B$20000,A31,MOVIMIENTOS!$H$4:$H$20000,"Por revisar"))</f>
        <v/>
      </c>
      <c r="N31" s="45" t="str">
        <f aca="true">IF(A31="","",IF(A31&lt;DATE(YEAR(TODAY()),MONTH(TODAY()),1),1,0))</f>
        <v/>
      </c>
    </row>
    <row r="32" customFormat="false" ht="15" hidden="false" customHeight="false" outlineLevel="0" collapsed="false">
      <c r="G32" s="43" t="str">
        <f aca="false">IF(A32="","",SUMIFS(MOVIMIENTOS!$E$4:$E$20000,MOVIMIENTOS!$B$4:$B$20000,A32,MOVIMIENTOS!$H$4:$H$20000,"Ingreso")+SUMIFS(FLEXIBLE!$D$4:$D$200,FLEXIBLE!$F$4:$F$200,A32))</f>
        <v/>
      </c>
      <c r="H32" s="43" t="str">
        <f aca="false">IF(A32="","",-SUMIFS(MOVIMIENTOS!$E$4:$E$20000,MOVIMIENTOS!$B$4:$B$20000,A32,MOVIMIENTOS!$H$4:$H$20000,"Gasto")+SUMIFS(FLEXIBLE!$D$4:$D$200,FLEXIBLE!$F$4:$F$200,A32))</f>
        <v/>
      </c>
      <c r="I32" s="43" t="str">
        <f aca="false">IF(A32="","",G32-H32)</f>
        <v/>
      </c>
      <c r="J32" s="44" t="str">
        <f aca="false">IF(A32="","",IF(N32=0,"en curso",IF(N(G32)=0,"",I32/G32)))</f>
        <v/>
      </c>
      <c r="K32" s="43" t="str">
        <f aca="false">IF(A32="","",SUM(B32:F32))</f>
        <v/>
      </c>
      <c r="L32" s="45" t="str">
        <f aca="false">IF(A32="","",YEAR(A32))</f>
        <v/>
      </c>
      <c r="M32" s="45" t="str">
        <f aca="false">IF(A32="","",COUNTIFS(MOVIMIENTOS!$B$4:$B$20000,A32,MOVIMIENTOS!$H$4:$H$20000,"Por revisar"))</f>
        <v/>
      </c>
      <c r="N32" s="45" t="str">
        <f aca="true">IF(A32="","",IF(A32&lt;DATE(YEAR(TODAY()),MONTH(TODAY()),1),1,0))</f>
        <v/>
      </c>
    </row>
    <row r="33" customFormat="false" ht="15" hidden="false" customHeight="false" outlineLevel="0" collapsed="false">
      <c r="G33" s="43" t="str">
        <f aca="false">IF(A33="","",SUMIFS(MOVIMIENTOS!$E$4:$E$20000,MOVIMIENTOS!$B$4:$B$20000,A33,MOVIMIENTOS!$H$4:$H$20000,"Ingreso")+SUMIFS(FLEXIBLE!$D$4:$D$200,FLEXIBLE!$F$4:$F$200,A33))</f>
        <v/>
      </c>
      <c r="H33" s="43" t="str">
        <f aca="false">IF(A33="","",-SUMIFS(MOVIMIENTOS!$E$4:$E$20000,MOVIMIENTOS!$B$4:$B$20000,A33,MOVIMIENTOS!$H$4:$H$20000,"Gasto")+SUMIFS(FLEXIBLE!$D$4:$D$200,FLEXIBLE!$F$4:$F$200,A33))</f>
        <v/>
      </c>
      <c r="I33" s="43" t="str">
        <f aca="false">IF(A33="","",G33-H33)</f>
        <v/>
      </c>
      <c r="J33" s="44" t="str">
        <f aca="false">IF(A33="","",IF(N33=0,"en curso",IF(N(G33)=0,"",I33/G33)))</f>
        <v/>
      </c>
      <c r="K33" s="43" t="str">
        <f aca="false">IF(A33="","",SUM(B33:F33))</f>
        <v/>
      </c>
      <c r="L33" s="45" t="str">
        <f aca="false">IF(A33="","",YEAR(A33))</f>
        <v/>
      </c>
      <c r="M33" s="45" t="str">
        <f aca="false">IF(A33="","",COUNTIFS(MOVIMIENTOS!$B$4:$B$20000,A33,MOVIMIENTOS!$H$4:$H$20000,"Por revisar"))</f>
        <v/>
      </c>
      <c r="N33" s="45" t="str">
        <f aca="true">IF(A33="","",IF(A33&lt;DATE(YEAR(TODAY()),MONTH(TODAY()),1),1,0))</f>
        <v/>
      </c>
    </row>
    <row r="34" customFormat="false" ht="15" hidden="false" customHeight="false" outlineLevel="0" collapsed="false">
      <c r="G34" s="43" t="str">
        <f aca="false">IF(A34="","",SUMIFS(MOVIMIENTOS!$E$4:$E$20000,MOVIMIENTOS!$B$4:$B$20000,A34,MOVIMIENTOS!$H$4:$H$20000,"Ingreso")+SUMIFS(FLEXIBLE!$D$4:$D$200,FLEXIBLE!$F$4:$F$200,A34))</f>
        <v/>
      </c>
      <c r="H34" s="43" t="str">
        <f aca="false">IF(A34="","",-SUMIFS(MOVIMIENTOS!$E$4:$E$20000,MOVIMIENTOS!$B$4:$B$20000,A34,MOVIMIENTOS!$H$4:$H$20000,"Gasto")+SUMIFS(FLEXIBLE!$D$4:$D$200,FLEXIBLE!$F$4:$F$200,A34))</f>
        <v/>
      </c>
      <c r="I34" s="43" t="str">
        <f aca="false">IF(A34="","",G34-H34)</f>
        <v/>
      </c>
      <c r="J34" s="44" t="str">
        <f aca="false">IF(A34="","",IF(N34=0,"en curso",IF(N(G34)=0,"",I34/G34)))</f>
        <v/>
      </c>
      <c r="K34" s="43" t="str">
        <f aca="false">IF(A34="","",SUM(B34:F34))</f>
        <v/>
      </c>
      <c r="L34" s="45" t="str">
        <f aca="false">IF(A34="","",YEAR(A34))</f>
        <v/>
      </c>
      <c r="M34" s="45" t="str">
        <f aca="false">IF(A34="","",COUNTIFS(MOVIMIENTOS!$B$4:$B$20000,A34,MOVIMIENTOS!$H$4:$H$20000,"Por revisar"))</f>
        <v/>
      </c>
      <c r="N34" s="45" t="str">
        <f aca="true">IF(A34="","",IF(A34&lt;DATE(YEAR(TODAY()),MONTH(TODAY()),1),1,0))</f>
        <v/>
      </c>
    </row>
    <row r="35" customFormat="false" ht="15" hidden="false" customHeight="false" outlineLevel="0" collapsed="false">
      <c r="G35" s="43" t="str">
        <f aca="false">IF(A35="","",SUMIFS(MOVIMIENTOS!$E$4:$E$20000,MOVIMIENTOS!$B$4:$B$20000,A35,MOVIMIENTOS!$H$4:$H$20000,"Ingreso")+SUMIFS(FLEXIBLE!$D$4:$D$200,FLEXIBLE!$F$4:$F$200,A35))</f>
        <v/>
      </c>
      <c r="H35" s="43" t="str">
        <f aca="false">IF(A35="","",-SUMIFS(MOVIMIENTOS!$E$4:$E$20000,MOVIMIENTOS!$B$4:$B$20000,A35,MOVIMIENTOS!$H$4:$H$20000,"Gasto")+SUMIFS(FLEXIBLE!$D$4:$D$200,FLEXIBLE!$F$4:$F$200,A35))</f>
        <v/>
      </c>
      <c r="I35" s="43" t="str">
        <f aca="false">IF(A35="","",G35-H35)</f>
        <v/>
      </c>
      <c r="J35" s="44" t="str">
        <f aca="false">IF(A35="","",IF(N35=0,"en curso",IF(N(G35)=0,"",I35/G35)))</f>
        <v/>
      </c>
      <c r="K35" s="43" t="str">
        <f aca="false">IF(A35="","",SUM(B35:F35))</f>
        <v/>
      </c>
      <c r="L35" s="45" t="str">
        <f aca="false">IF(A35="","",YEAR(A35))</f>
        <v/>
      </c>
      <c r="M35" s="45" t="str">
        <f aca="false">IF(A35="","",COUNTIFS(MOVIMIENTOS!$B$4:$B$20000,A35,MOVIMIENTOS!$H$4:$H$20000,"Por revisar"))</f>
        <v/>
      </c>
      <c r="N35" s="45" t="str">
        <f aca="true">IF(A35="","",IF(A35&lt;DATE(YEAR(TODAY()),MONTH(TODAY()),1),1,0))</f>
        <v/>
      </c>
    </row>
    <row r="36" customFormat="false" ht="15" hidden="false" customHeight="false" outlineLevel="0" collapsed="false">
      <c r="G36" s="43" t="str">
        <f aca="false">IF(A36="","",SUMIFS(MOVIMIENTOS!$E$4:$E$20000,MOVIMIENTOS!$B$4:$B$20000,A36,MOVIMIENTOS!$H$4:$H$20000,"Ingreso")+SUMIFS(FLEXIBLE!$D$4:$D$200,FLEXIBLE!$F$4:$F$200,A36))</f>
        <v/>
      </c>
      <c r="H36" s="43" t="str">
        <f aca="false">IF(A36="","",-SUMIFS(MOVIMIENTOS!$E$4:$E$20000,MOVIMIENTOS!$B$4:$B$20000,A36,MOVIMIENTOS!$H$4:$H$20000,"Gasto")+SUMIFS(FLEXIBLE!$D$4:$D$200,FLEXIBLE!$F$4:$F$200,A36))</f>
        <v/>
      </c>
      <c r="I36" s="43" t="str">
        <f aca="false">IF(A36="","",G36-H36)</f>
        <v/>
      </c>
      <c r="J36" s="44" t="str">
        <f aca="false">IF(A36="","",IF(N36=0,"en curso",IF(N(G36)=0,"",I36/G36)))</f>
        <v/>
      </c>
      <c r="K36" s="43" t="str">
        <f aca="false">IF(A36="","",SUM(B36:F36))</f>
        <v/>
      </c>
      <c r="L36" s="45" t="str">
        <f aca="false">IF(A36="","",YEAR(A36))</f>
        <v/>
      </c>
      <c r="M36" s="45" t="str">
        <f aca="false">IF(A36="","",COUNTIFS(MOVIMIENTOS!$B$4:$B$20000,A36,MOVIMIENTOS!$H$4:$H$20000,"Por revisar"))</f>
        <v/>
      </c>
      <c r="N36" s="45" t="str">
        <f aca="true">IF(A36="","",IF(A36&lt;DATE(YEAR(TODAY()),MONTH(TODAY()),1),1,0))</f>
        <v/>
      </c>
    </row>
    <row r="37" customFormat="false" ht="15" hidden="false" customHeight="false" outlineLevel="0" collapsed="false">
      <c r="G37" s="43" t="str">
        <f aca="false">IF(A37="","",SUMIFS(MOVIMIENTOS!$E$4:$E$20000,MOVIMIENTOS!$B$4:$B$20000,A37,MOVIMIENTOS!$H$4:$H$20000,"Ingreso")+SUMIFS(FLEXIBLE!$D$4:$D$200,FLEXIBLE!$F$4:$F$200,A37))</f>
        <v/>
      </c>
      <c r="H37" s="43" t="str">
        <f aca="false">IF(A37="","",-SUMIFS(MOVIMIENTOS!$E$4:$E$20000,MOVIMIENTOS!$B$4:$B$20000,A37,MOVIMIENTOS!$H$4:$H$20000,"Gasto")+SUMIFS(FLEXIBLE!$D$4:$D$200,FLEXIBLE!$F$4:$F$200,A37))</f>
        <v/>
      </c>
      <c r="I37" s="43" t="str">
        <f aca="false">IF(A37="","",G37-H37)</f>
        <v/>
      </c>
      <c r="J37" s="44" t="str">
        <f aca="false">IF(A37="","",IF(N37=0,"en curso",IF(N(G37)=0,"",I37/G37)))</f>
        <v/>
      </c>
      <c r="K37" s="43" t="str">
        <f aca="false">IF(A37="","",SUM(B37:F37))</f>
        <v/>
      </c>
      <c r="L37" s="45" t="str">
        <f aca="false">IF(A37="","",YEAR(A37))</f>
        <v/>
      </c>
      <c r="M37" s="45" t="str">
        <f aca="false">IF(A37="","",COUNTIFS(MOVIMIENTOS!$B$4:$B$20000,A37,MOVIMIENTOS!$H$4:$H$20000,"Por revisar"))</f>
        <v/>
      </c>
      <c r="N37" s="45" t="str">
        <f aca="true">IF(A37="","",IF(A37&lt;DATE(YEAR(TODAY()),MONTH(TODAY()),1),1,0))</f>
        <v/>
      </c>
    </row>
    <row r="38" customFormat="false" ht="15" hidden="false" customHeight="false" outlineLevel="0" collapsed="false">
      <c r="G38" s="43" t="str">
        <f aca="false">IF(A38="","",SUMIFS(MOVIMIENTOS!$E$4:$E$20000,MOVIMIENTOS!$B$4:$B$20000,A38,MOVIMIENTOS!$H$4:$H$20000,"Ingreso")+SUMIFS(FLEXIBLE!$D$4:$D$200,FLEXIBLE!$F$4:$F$200,A38))</f>
        <v/>
      </c>
      <c r="H38" s="43" t="str">
        <f aca="false">IF(A38="","",-SUMIFS(MOVIMIENTOS!$E$4:$E$20000,MOVIMIENTOS!$B$4:$B$20000,A38,MOVIMIENTOS!$H$4:$H$20000,"Gasto")+SUMIFS(FLEXIBLE!$D$4:$D$200,FLEXIBLE!$F$4:$F$200,A38))</f>
        <v/>
      </c>
      <c r="I38" s="43" t="str">
        <f aca="false">IF(A38="","",G38-H38)</f>
        <v/>
      </c>
      <c r="J38" s="44" t="str">
        <f aca="false">IF(A38="","",IF(N38=0,"en curso",IF(N(G38)=0,"",I38/G38)))</f>
        <v/>
      </c>
      <c r="K38" s="43" t="str">
        <f aca="false">IF(A38="","",SUM(B38:F38))</f>
        <v/>
      </c>
      <c r="L38" s="45" t="str">
        <f aca="false">IF(A38="","",YEAR(A38))</f>
        <v/>
      </c>
      <c r="M38" s="45" t="str">
        <f aca="false">IF(A38="","",COUNTIFS(MOVIMIENTOS!$B$4:$B$20000,A38,MOVIMIENTOS!$H$4:$H$20000,"Por revisar"))</f>
        <v/>
      </c>
      <c r="N38" s="45" t="str">
        <f aca="true">IF(A38="","",IF(A38&lt;DATE(YEAR(TODAY()),MONTH(TODAY()),1),1,0))</f>
        <v/>
      </c>
    </row>
    <row r="39" customFormat="false" ht="15" hidden="false" customHeight="false" outlineLevel="0" collapsed="false">
      <c r="G39" s="43" t="str">
        <f aca="false">IF(A39="","",SUMIFS(MOVIMIENTOS!$E$4:$E$20000,MOVIMIENTOS!$B$4:$B$20000,A39,MOVIMIENTOS!$H$4:$H$20000,"Ingreso")+SUMIFS(FLEXIBLE!$D$4:$D$200,FLEXIBLE!$F$4:$F$200,A39))</f>
        <v/>
      </c>
      <c r="H39" s="43" t="str">
        <f aca="false">IF(A39="","",-SUMIFS(MOVIMIENTOS!$E$4:$E$20000,MOVIMIENTOS!$B$4:$B$20000,A39,MOVIMIENTOS!$H$4:$H$20000,"Gasto")+SUMIFS(FLEXIBLE!$D$4:$D$200,FLEXIBLE!$F$4:$F$200,A39))</f>
        <v/>
      </c>
      <c r="I39" s="43" t="str">
        <f aca="false">IF(A39="","",G39-H39)</f>
        <v/>
      </c>
      <c r="J39" s="44" t="str">
        <f aca="false">IF(A39="","",IF(N39=0,"en curso",IF(N(G39)=0,"",I39/G39)))</f>
        <v/>
      </c>
      <c r="K39" s="43" t="str">
        <f aca="false">IF(A39="","",SUM(B39:F39))</f>
        <v/>
      </c>
      <c r="L39" s="45" t="str">
        <f aca="false">IF(A39="","",YEAR(A39))</f>
        <v/>
      </c>
      <c r="M39" s="45" t="str">
        <f aca="false">IF(A39="","",COUNTIFS(MOVIMIENTOS!$B$4:$B$20000,A39,MOVIMIENTOS!$H$4:$H$20000,"Por revisar"))</f>
        <v/>
      </c>
      <c r="N39" s="45" t="str">
        <f aca="true">IF(A39="","",IF(A39&lt;DATE(YEAR(TODAY()),MONTH(TODAY()),1),1,0))</f>
        <v/>
      </c>
    </row>
    <row r="40" customFormat="false" ht="15" hidden="false" customHeight="false" outlineLevel="0" collapsed="false">
      <c r="G40" s="43" t="str">
        <f aca="false">IF(A40="","",SUMIFS(MOVIMIENTOS!$E$4:$E$20000,MOVIMIENTOS!$B$4:$B$20000,A40,MOVIMIENTOS!$H$4:$H$20000,"Ingreso")+SUMIFS(FLEXIBLE!$D$4:$D$200,FLEXIBLE!$F$4:$F$200,A40))</f>
        <v/>
      </c>
      <c r="H40" s="43" t="str">
        <f aca="false">IF(A40="","",-SUMIFS(MOVIMIENTOS!$E$4:$E$20000,MOVIMIENTOS!$B$4:$B$20000,A40,MOVIMIENTOS!$H$4:$H$20000,"Gasto")+SUMIFS(FLEXIBLE!$D$4:$D$200,FLEXIBLE!$F$4:$F$200,A40))</f>
        <v/>
      </c>
      <c r="I40" s="43" t="str">
        <f aca="false">IF(A40="","",G40-H40)</f>
        <v/>
      </c>
      <c r="J40" s="44" t="str">
        <f aca="false">IF(A40="","",IF(N40=0,"en curso",IF(N(G40)=0,"",I40/G40)))</f>
        <v/>
      </c>
      <c r="K40" s="43" t="str">
        <f aca="false">IF(A40="","",SUM(B40:F40))</f>
        <v/>
      </c>
      <c r="L40" s="45" t="str">
        <f aca="false">IF(A40="","",YEAR(A40))</f>
        <v/>
      </c>
      <c r="M40" s="45" t="str">
        <f aca="false">IF(A40="","",COUNTIFS(MOVIMIENTOS!$B$4:$B$20000,A40,MOVIMIENTOS!$H$4:$H$20000,"Por revisar"))</f>
        <v/>
      </c>
      <c r="N40" s="45" t="str">
        <f aca="true">IF(A40="","",IF(A40&lt;DATE(YEAR(TODAY()),MONTH(TODAY()),1),1,0))</f>
        <v/>
      </c>
    </row>
    <row r="41" customFormat="false" ht="15" hidden="false" customHeight="false" outlineLevel="0" collapsed="false">
      <c r="G41" s="43" t="str">
        <f aca="false">IF(A41="","",SUMIFS(MOVIMIENTOS!$E$4:$E$20000,MOVIMIENTOS!$B$4:$B$20000,A41,MOVIMIENTOS!$H$4:$H$20000,"Ingreso")+SUMIFS(FLEXIBLE!$D$4:$D$200,FLEXIBLE!$F$4:$F$200,A41))</f>
        <v/>
      </c>
      <c r="H41" s="43" t="str">
        <f aca="false">IF(A41="","",-SUMIFS(MOVIMIENTOS!$E$4:$E$20000,MOVIMIENTOS!$B$4:$B$20000,A41,MOVIMIENTOS!$H$4:$H$20000,"Gasto")+SUMIFS(FLEXIBLE!$D$4:$D$200,FLEXIBLE!$F$4:$F$200,A41))</f>
        <v/>
      </c>
      <c r="I41" s="43" t="str">
        <f aca="false">IF(A41="","",G41-H41)</f>
        <v/>
      </c>
      <c r="J41" s="44" t="str">
        <f aca="false">IF(A41="","",IF(N41=0,"en curso",IF(N(G41)=0,"",I41/G41)))</f>
        <v/>
      </c>
      <c r="K41" s="43" t="str">
        <f aca="false">IF(A41="","",SUM(B41:F41))</f>
        <v/>
      </c>
      <c r="L41" s="45" t="str">
        <f aca="false">IF(A41="","",YEAR(A41))</f>
        <v/>
      </c>
      <c r="M41" s="45" t="str">
        <f aca="false">IF(A41="","",COUNTIFS(MOVIMIENTOS!$B$4:$B$20000,A41,MOVIMIENTOS!$H$4:$H$20000,"Por revisar"))</f>
        <v/>
      </c>
      <c r="N41" s="45" t="str">
        <f aca="true">IF(A41="","",IF(A41&lt;DATE(YEAR(TODAY()),MONTH(TODAY()),1),1,0))</f>
        <v/>
      </c>
    </row>
    <row r="42" customFormat="false" ht="15" hidden="false" customHeight="false" outlineLevel="0" collapsed="false">
      <c r="G42" s="43" t="str">
        <f aca="false">IF(A42="","",SUMIFS(MOVIMIENTOS!$E$4:$E$20000,MOVIMIENTOS!$B$4:$B$20000,A42,MOVIMIENTOS!$H$4:$H$20000,"Ingreso")+SUMIFS(FLEXIBLE!$D$4:$D$200,FLEXIBLE!$F$4:$F$200,A42))</f>
        <v/>
      </c>
      <c r="H42" s="43" t="str">
        <f aca="false">IF(A42="","",-SUMIFS(MOVIMIENTOS!$E$4:$E$20000,MOVIMIENTOS!$B$4:$B$20000,A42,MOVIMIENTOS!$H$4:$H$20000,"Gasto")+SUMIFS(FLEXIBLE!$D$4:$D$200,FLEXIBLE!$F$4:$F$200,A42))</f>
        <v/>
      </c>
      <c r="I42" s="43" t="str">
        <f aca="false">IF(A42="","",G42-H42)</f>
        <v/>
      </c>
      <c r="J42" s="44" t="str">
        <f aca="false">IF(A42="","",IF(N42=0,"en curso",IF(N(G42)=0,"",I42/G42)))</f>
        <v/>
      </c>
      <c r="K42" s="43" t="str">
        <f aca="false">IF(A42="","",SUM(B42:F42))</f>
        <v/>
      </c>
      <c r="L42" s="45" t="str">
        <f aca="false">IF(A42="","",YEAR(A42))</f>
        <v/>
      </c>
      <c r="M42" s="45" t="str">
        <f aca="false">IF(A42="","",COUNTIFS(MOVIMIENTOS!$B$4:$B$20000,A42,MOVIMIENTOS!$H$4:$H$20000,"Por revisar"))</f>
        <v/>
      </c>
      <c r="N42" s="45" t="str">
        <f aca="true">IF(A42="","",IF(A42&lt;DATE(YEAR(TODAY()),MONTH(TODAY()),1),1,0))</f>
        <v/>
      </c>
    </row>
    <row r="43" customFormat="false" ht="15" hidden="false" customHeight="false" outlineLevel="0" collapsed="false">
      <c r="G43" s="43" t="str">
        <f aca="false">IF(A43="","",SUMIFS(MOVIMIENTOS!$E$4:$E$20000,MOVIMIENTOS!$B$4:$B$20000,A43,MOVIMIENTOS!$H$4:$H$20000,"Ingreso")+SUMIFS(FLEXIBLE!$D$4:$D$200,FLEXIBLE!$F$4:$F$200,A43))</f>
        <v/>
      </c>
      <c r="H43" s="43" t="str">
        <f aca="false">IF(A43="","",-SUMIFS(MOVIMIENTOS!$E$4:$E$20000,MOVIMIENTOS!$B$4:$B$20000,A43,MOVIMIENTOS!$H$4:$H$20000,"Gasto")+SUMIFS(FLEXIBLE!$D$4:$D$200,FLEXIBLE!$F$4:$F$200,A43))</f>
        <v/>
      </c>
      <c r="I43" s="43" t="str">
        <f aca="false">IF(A43="","",G43-H43)</f>
        <v/>
      </c>
      <c r="J43" s="44" t="str">
        <f aca="false">IF(A43="","",IF(N43=0,"en curso",IF(N(G43)=0,"",I43/G43)))</f>
        <v/>
      </c>
      <c r="K43" s="43" t="str">
        <f aca="false">IF(A43="","",SUM(B43:F43))</f>
        <v/>
      </c>
      <c r="L43" s="45" t="str">
        <f aca="false">IF(A43="","",YEAR(A43))</f>
        <v/>
      </c>
      <c r="M43" s="45" t="str">
        <f aca="false">IF(A43="","",COUNTIFS(MOVIMIENTOS!$B$4:$B$20000,A43,MOVIMIENTOS!$H$4:$H$20000,"Por revisar"))</f>
        <v/>
      </c>
      <c r="N43" s="45" t="str">
        <f aca="true">IF(A43="","",IF(A43&lt;DATE(YEAR(TODAY()),MONTH(TODAY()),1),1,0))</f>
        <v/>
      </c>
    </row>
    <row r="44" customFormat="false" ht="15" hidden="false" customHeight="false" outlineLevel="0" collapsed="false">
      <c r="G44" s="43" t="str">
        <f aca="false">IF(A44="","",SUMIFS(MOVIMIENTOS!$E$4:$E$20000,MOVIMIENTOS!$B$4:$B$20000,A44,MOVIMIENTOS!$H$4:$H$20000,"Ingreso")+SUMIFS(FLEXIBLE!$D$4:$D$200,FLEXIBLE!$F$4:$F$200,A44))</f>
        <v/>
      </c>
      <c r="H44" s="43" t="str">
        <f aca="false">IF(A44="","",-SUMIFS(MOVIMIENTOS!$E$4:$E$20000,MOVIMIENTOS!$B$4:$B$20000,A44,MOVIMIENTOS!$H$4:$H$20000,"Gasto")+SUMIFS(FLEXIBLE!$D$4:$D$200,FLEXIBLE!$F$4:$F$200,A44))</f>
        <v/>
      </c>
      <c r="I44" s="43" t="str">
        <f aca="false">IF(A44="","",G44-H44)</f>
        <v/>
      </c>
      <c r="J44" s="44" t="str">
        <f aca="false">IF(A44="","",IF(N44=0,"en curso",IF(N(G44)=0,"",I44/G44)))</f>
        <v/>
      </c>
      <c r="K44" s="43" t="str">
        <f aca="false">IF(A44="","",SUM(B44:F44))</f>
        <v/>
      </c>
      <c r="L44" s="45" t="str">
        <f aca="false">IF(A44="","",YEAR(A44))</f>
        <v/>
      </c>
      <c r="M44" s="45" t="str">
        <f aca="false">IF(A44="","",COUNTIFS(MOVIMIENTOS!$B$4:$B$20000,A44,MOVIMIENTOS!$H$4:$H$20000,"Por revisar"))</f>
        <v/>
      </c>
      <c r="N44" s="45" t="str">
        <f aca="true">IF(A44="","",IF(A44&lt;DATE(YEAR(TODAY()),MONTH(TODAY()),1),1,0))</f>
        <v/>
      </c>
    </row>
    <row r="45" customFormat="false" ht="15" hidden="false" customHeight="false" outlineLevel="0" collapsed="false">
      <c r="G45" s="43" t="str">
        <f aca="false">IF(A45="","",SUMIFS(MOVIMIENTOS!$E$4:$E$20000,MOVIMIENTOS!$B$4:$B$20000,A45,MOVIMIENTOS!$H$4:$H$20000,"Ingreso")+SUMIFS(FLEXIBLE!$D$4:$D$200,FLEXIBLE!$F$4:$F$200,A45))</f>
        <v/>
      </c>
      <c r="H45" s="43" t="str">
        <f aca="false">IF(A45="","",-SUMIFS(MOVIMIENTOS!$E$4:$E$20000,MOVIMIENTOS!$B$4:$B$20000,A45,MOVIMIENTOS!$H$4:$H$20000,"Gasto")+SUMIFS(FLEXIBLE!$D$4:$D$200,FLEXIBLE!$F$4:$F$200,A45))</f>
        <v/>
      </c>
      <c r="I45" s="43" t="str">
        <f aca="false">IF(A45="","",G45-H45)</f>
        <v/>
      </c>
      <c r="J45" s="44" t="str">
        <f aca="false">IF(A45="","",IF(N45=0,"en curso",IF(N(G45)=0,"",I45/G45)))</f>
        <v/>
      </c>
      <c r="K45" s="43" t="str">
        <f aca="false">IF(A45="","",SUM(B45:F45))</f>
        <v/>
      </c>
      <c r="L45" s="45" t="str">
        <f aca="false">IF(A45="","",YEAR(A45))</f>
        <v/>
      </c>
      <c r="M45" s="45" t="str">
        <f aca="false">IF(A45="","",COUNTIFS(MOVIMIENTOS!$B$4:$B$20000,A45,MOVIMIENTOS!$H$4:$H$20000,"Por revisar"))</f>
        <v/>
      </c>
      <c r="N45" s="45" t="str">
        <f aca="true">IF(A45="","",IF(A45&lt;DATE(YEAR(TODAY()),MONTH(TODAY()),1),1,0))</f>
        <v/>
      </c>
    </row>
    <row r="46" customFormat="false" ht="15" hidden="false" customHeight="false" outlineLevel="0" collapsed="false">
      <c r="G46" s="43" t="str">
        <f aca="false">IF(A46="","",SUMIFS(MOVIMIENTOS!$E$4:$E$20000,MOVIMIENTOS!$B$4:$B$20000,A46,MOVIMIENTOS!$H$4:$H$20000,"Ingreso")+SUMIFS(FLEXIBLE!$D$4:$D$200,FLEXIBLE!$F$4:$F$200,A46))</f>
        <v/>
      </c>
      <c r="H46" s="43" t="str">
        <f aca="false">IF(A46="","",-SUMIFS(MOVIMIENTOS!$E$4:$E$20000,MOVIMIENTOS!$B$4:$B$20000,A46,MOVIMIENTOS!$H$4:$H$20000,"Gasto")+SUMIFS(FLEXIBLE!$D$4:$D$200,FLEXIBLE!$F$4:$F$200,A46))</f>
        <v/>
      </c>
      <c r="I46" s="43" t="str">
        <f aca="false">IF(A46="","",G46-H46)</f>
        <v/>
      </c>
      <c r="J46" s="44" t="str">
        <f aca="false">IF(A46="","",IF(N46=0,"en curso",IF(N(G46)=0,"",I46/G46)))</f>
        <v/>
      </c>
      <c r="K46" s="43" t="str">
        <f aca="false">IF(A46="","",SUM(B46:F46))</f>
        <v/>
      </c>
      <c r="L46" s="45" t="str">
        <f aca="false">IF(A46="","",YEAR(A46))</f>
        <v/>
      </c>
      <c r="M46" s="45" t="str">
        <f aca="false">IF(A46="","",COUNTIFS(MOVIMIENTOS!$B$4:$B$20000,A46,MOVIMIENTOS!$H$4:$H$20000,"Por revisar"))</f>
        <v/>
      </c>
      <c r="N46" s="45" t="str">
        <f aca="true">IF(A46="","",IF(A46&lt;DATE(YEAR(TODAY()),MONTH(TODAY()),1),1,0))</f>
        <v/>
      </c>
    </row>
    <row r="47" customFormat="false" ht="15" hidden="false" customHeight="false" outlineLevel="0" collapsed="false">
      <c r="G47" s="43" t="str">
        <f aca="false">IF(A47="","",SUMIFS(MOVIMIENTOS!$E$4:$E$20000,MOVIMIENTOS!$B$4:$B$20000,A47,MOVIMIENTOS!$H$4:$H$20000,"Ingreso")+SUMIFS(FLEXIBLE!$D$4:$D$200,FLEXIBLE!$F$4:$F$200,A47))</f>
        <v/>
      </c>
      <c r="H47" s="43" t="str">
        <f aca="false">IF(A47="","",-SUMIFS(MOVIMIENTOS!$E$4:$E$20000,MOVIMIENTOS!$B$4:$B$20000,A47,MOVIMIENTOS!$H$4:$H$20000,"Gasto")+SUMIFS(FLEXIBLE!$D$4:$D$200,FLEXIBLE!$F$4:$F$200,A47))</f>
        <v/>
      </c>
      <c r="I47" s="43" t="str">
        <f aca="false">IF(A47="","",G47-H47)</f>
        <v/>
      </c>
      <c r="J47" s="44" t="str">
        <f aca="false">IF(A47="","",IF(N47=0,"en curso",IF(N(G47)=0,"",I47/G47)))</f>
        <v/>
      </c>
      <c r="K47" s="43" t="str">
        <f aca="false">IF(A47="","",SUM(B47:F47))</f>
        <v/>
      </c>
      <c r="L47" s="45" t="str">
        <f aca="false">IF(A47="","",YEAR(A47))</f>
        <v/>
      </c>
      <c r="M47" s="45" t="str">
        <f aca="false">IF(A47="","",COUNTIFS(MOVIMIENTOS!$B$4:$B$20000,A47,MOVIMIENTOS!$H$4:$H$20000,"Por revisar"))</f>
        <v/>
      </c>
      <c r="N47" s="45" t="str">
        <f aca="true">IF(A47="","",IF(A47&lt;DATE(YEAR(TODAY()),MONTH(TODAY()),1),1,0))</f>
        <v/>
      </c>
    </row>
    <row r="48" customFormat="false" ht="15" hidden="false" customHeight="false" outlineLevel="0" collapsed="false">
      <c r="G48" s="43" t="str">
        <f aca="false">IF(A48="","",SUMIFS(MOVIMIENTOS!$E$4:$E$20000,MOVIMIENTOS!$B$4:$B$20000,A48,MOVIMIENTOS!$H$4:$H$20000,"Ingreso")+SUMIFS(FLEXIBLE!$D$4:$D$200,FLEXIBLE!$F$4:$F$200,A48))</f>
        <v/>
      </c>
      <c r="H48" s="43" t="str">
        <f aca="false">IF(A48="","",-SUMIFS(MOVIMIENTOS!$E$4:$E$20000,MOVIMIENTOS!$B$4:$B$20000,A48,MOVIMIENTOS!$H$4:$H$20000,"Gasto")+SUMIFS(FLEXIBLE!$D$4:$D$200,FLEXIBLE!$F$4:$F$200,A48))</f>
        <v/>
      </c>
      <c r="I48" s="43" t="str">
        <f aca="false">IF(A48="","",G48-H48)</f>
        <v/>
      </c>
      <c r="J48" s="44" t="str">
        <f aca="false">IF(A48="","",IF(N48=0,"en curso",IF(N(G48)=0,"",I48/G48)))</f>
        <v/>
      </c>
      <c r="K48" s="43" t="str">
        <f aca="false">IF(A48="","",SUM(B48:F48))</f>
        <v/>
      </c>
      <c r="L48" s="45" t="str">
        <f aca="false">IF(A48="","",YEAR(A48))</f>
        <v/>
      </c>
      <c r="M48" s="45" t="str">
        <f aca="false">IF(A48="","",COUNTIFS(MOVIMIENTOS!$B$4:$B$20000,A48,MOVIMIENTOS!$H$4:$H$20000,"Por revisar"))</f>
        <v/>
      </c>
      <c r="N48" s="45" t="str">
        <f aca="true">IF(A48="","",IF(A48&lt;DATE(YEAR(TODAY()),MONTH(TODAY()),1),1,0))</f>
        <v/>
      </c>
    </row>
    <row r="49" customFormat="false" ht="15" hidden="false" customHeight="false" outlineLevel="0" collapsed="false">
      <c r="G49" s="43" t="str">
        <f aca="false">IF(A49="","",SUMIFS(MOVIMIENTOS!$E$4:$E$20000,MOVIMIENTOS!$B$4:$B$20000,A49,MOVIMIENTOS!$H$4:$H$20000,"Ingreso")+SUMIFS(FLEXIBLE!$D$4:$D$200,FLEXIBLE!$F$4:$F$200,A49))</f>
        <v/>
      </c>
      <c r="H49" s="43" t="str">
        <f aca="false">IF(A49="","",-SUMIFS(MOVIMIENTOS!$E$4:$E$20000,MOVIMIENTOS!$B$4:$B$20000,A49,MOVIMIENTOS!$H$4:$H$20000,"Gasto")+SUMIFS(FLEXIBLE!$D$4:$D$200,FLEXIBLE!$F$4:$F$200,A49))</f>
        <v/>
      </c>
      <c r="I49" s="43" t="str">
        <f aca="false">IF(A49="","",G49-H49)</f>
        <v/>
      </c>
      <c r="J49" s="44" t="str">
        <f aca="false">IF(A49="","",IF(N49=0,"en curso",IF(N(G49)=0,"",I49/G49)))</f>
        <v/>
      </c>
      <c r="K49" s="43" t="str">
        <f aca="false">IF(A49="","",SUM(B49:F49))</f>
        <v/>
      </c>
      <c r="L49" s="45" t="str">
        <f aca="false">IF(A49="","",YEAR(A49))</f>
        <v/>
      </c>
      <c r="M49" s="45" t="str">
        <f aca="false">IF(A49="","",COUNTIFS(MOVIMIENTOS!$B$4:$B$20000,A49,MOVIMIENTOS!$H$4:$H$20000,"Por revisar"))</f>
        <v/>
      </c>
      <c r="N49" s="45" t="str">
        <f aca="true">IF(A49="","",IF(A49&lt;DATE(YEAR(TODAY()),MONTH(TODAY()),1),1,0))</f>
        <v/>
      </c>
    </row>
    <row r="50" customFormat="false" ht="15" hidden="false" customHeight="false" outlineLevel="0" collapsed="false">
      <c r="G50" s="43" t="str">
        <f aca="false">IF(A50="","",SUMIFS(MOVIMIENTOS!$E$4:$E$20000,MOVIMIENTOS!$B$4:$B$20000,A50,MOVIMIENTOS!$H$4:$H$20000,"Ingreso")+SUMIFS(FLEXIBLE!$D$4:$D$200,FLEXIBLE!$F$4:$F$200,A50))</f>
        <v/>
      </c>
      <c r="H50" s="43" t="str">
        <f aca="false">IF(A50="","",-SUMIFS(MOVIMIENTOS!$E$4:$E$20000,MOVIMIENTOS!$B$4:$B$20000,A50,MOVIMIENTOS!$H$4:$H$20000,"Gasto")+SUMIFS(FLEXIBLE!$D$4:$D$200,FLEXIBLE!$F$4:$F$200,A50))</f>
        <v/>
      </c>
      <c r="I50" s="43" t="str">
        <f aca="false">IF(A50="","",G50-H50)</f>
        <v/>
      </c>
      <c r="J50" s="44" t="str">
        <f aca="false">IF(A50="","",IF(N50=0,"en curso",IF(N(G50)=0,"",I50/G50)))</f>
        <v/>
      </c>
      <c r="K50" s="43" t="str">
        <f aca="false">IF(A50="","",SUM(B50:F50))</f>
        <v/>
      </c>
      <c r="L50" s="45" t="str">
        <f aca="false">IF(A50="","",YEAR(A50))</f>
        <v/>
      </c>
      <c r="M50" s="45" t="str">
        <f aca="false">IF(A50="","",COUNTIFS(MOVIMIENTOS!$B$4:$B$20000,A50,MOVIMIENTOS!$H$4:$H$20000,"Por revisar"))</f>
        <v/>
      </c>
      <c r="N50" s="45" t="str">
        <f aca="true">IF(A50="","",IF(A50&lt;DATE(YEAR(TODAY()),MONTH(TODAY()),1),1,0))</f>
        <v/>
      </c>
    </row>
    <row r="51" customFormat="false" ht="15" hidden="false" customHeight="false" outlineLevel="0" collapsed="false">
      <c r="G51" s="43" t="str">
        <f aca="false">IF(A51="","",SUMIFS(MOVIMIENTOS!$E$4:$E$20000,MOVIMIENTOS!$B$4:$B$20000,A51,MOVIMIENTOS!$H$4:$H$20000,"Ingreso")+SUMIFS(FLEXIBLE!$D$4:$D$200,FLEXIBLE!$F$4:$F$200,A51))</f>
        <v/>
      </c>
      <c r="H51" s="43" t="str">
        <f aca="false">IF(A51="","",-SUMIFS(MOVIMIENTOS!$E$4:$E$20000,MOVIMIENTOS!$B$4:$B$20000,A51,MOVIMIENTOS!$H$4:$H$20000,"Gasto")+SUMIFS(FLEXIBLE!$D$4:$D$200,FLEXIBLE!$F$4:$F$200,A51))</f>
        <v/>
      </c>
      <c r="I51" s="43" t="str">
        <f aca="false">IF(A51="","",G51-H51)</f>
        <v/>
      </c>
      <c r="J51" s="44" t="str">
        <f aca="false">IF(A51="","",IF(N51=0,"en curso",IF(N(G51)=0,"",I51/G51)))</f>
        <v/>
      </c>
      <c r="K51" s="43" t="str">
        <f aca="false">IF(A51="","",SUM(B51:F51))</f>
        <v/>
      </c>
      <c r="L51" s="45" t="str">
        <f aca="false">IF(A51="","",YEAR(A51))</f>
        <v/>
      </c>
      <c r="M51" s="45" t="str">
        <f aca="false">IF(A51="","",COUNTIFS(MOVIMIENTOS!$B$4:$B$20000,A51,MOVIMIENTOS!$H$4:$H$20000,"Por revisar"))</f>
        <v/>
      </c>
      <c r="N51" s="45" t="str">
        <f aca="true">IF(A51="","",IF(A51&lt;DATE(YEAR(TODAY()),MONTH(TODAY()),1),1,0))</f>
        <v/>
      </c>
    </row>
    <row r="52" customFormat="false" ht="15" hidden="false" customHeight="false" outlineLevel="0" collapsed="false">
      <c r="G52" s="43" t="str">
        <f aca="false">IF(A52="","",SUMIFS(MOVIMIENTOS!$E$4:$E$20000,MOVIMIENTOS!$B$4:$B$20000,A52,MOVIMIENTOS!$H$4:$H$20000,"Ingreso")+SUMIFS(FLEXIBLE!$D$4:$D$200,FLEXIBLE!$F$4:$F$200,A52))</f>
        <v/>
      </c>
      <c r="H52" s="43" t="str">
        <f aca="false">IF(A52="","",-SUMIFS(MOVIMIENTOS!$E$4:$E$20000,MOVIMIENTOS!$B$4:$B$20000,A52,MOVIMIENTOS!$H$4:$H$20000,"Gasto")+SUMIFS(FLEXIBLE!$D$4:$D$200,FLEXIBLE!$F$4:$F$200,A52))</f>
        <v/>
      </c>
      <c r="I52" s="43" t="str">
        <f aca="false">IF(A52="","",G52-H52)</f>
        <v/>
      </c>
      <c r="J52" s="44" t="str">
        <f aca="false">IF(A52="","",IF(N52=0,"en curso",IF(N(G52)=0,"",I52/G52)))</f>
        <v/>
      </c>
      <c r="K52" s="43" t="str">
        <f aca="false">IF(A52="","",SUM(B52:F52))</f>
        <v/>
      </c>
      <c r="L52" s="45" t="str">
        <f aca="false">IF(A52="","",YEAR(A52))</f>
        <v/>
      </c>
      <c r="M52" s="45" t="str">
        <f aca="false">IF(A52="","",COUNTIFS(MOVIMIENTOS!$B$4:$B$20000,A52,MOVIMIENTOS!$H$4:$H$20000,"Por revisar"))</f>
        <v/>
      </c>
      <c r="N52" s="45" t="str">
        <f aca="true">IF(A52="","",IF(A52&lt;DATE(YEAR(TODAY()),MONTH(TODAY()),1),1,0))</f>
        <v/>
      </c>
    </row>
    <row r="53" customFormat="false" ht="15" hidden="false" customHeight="false" outlineLevel="0" collapsed="false">
      <c r="G53" s="43" t="str">
        <f aca="false">IF(A53="","",SUMIFS(MOVIMIENTOS!$E$4:$E$20000,MOVIMIENTOS!$B$4:$B$20000,A53,MOVIMIENTOS!$H$4:$H$20000,"Ingreso")+SUMIFS(FLEXIBLE!$D$4:$D$200,FLEXIBLE!$F$4:$F$200,A53))</f>
        <v/>
      </c>
      <c r="H53" s="43" t="str">
        <f aca="false">IF(A53="","",-SUMIFS(MOVIMIENTOS!$E$4:$E$20000,MOVIMIENTOS!$B$4:$B$20000,A53,MOVIMIENTOS!$H$4:$H$20000,"Gasto")+SUMIFS(FLEXIBLE!$D$4:$D$200,FLEXIBLE!$F$4:$F$200,A53))</f>
        <v/>
      </c>
      <c r="I53" s="43" t="str">
        <f aca="false">IF(A53="","",G53-H53)</f>
        <v/>
      </c>
      <c r="J53" s="44" t="str">
        <f aca="false">IF(A53="","",IF(N53=0,"en curso",IF(N(G53)=0,"",I53/G53)))</f>
        <v/>
      </c>
      <c r="K53" s="43" t="str">
        <f aca="false">IF(A53="","",SUM(B53:F53))</f>
        <v/>
      </c>
      <c r="L53" s="45" t="str">
        <f aca="false">IF(A53="","",YEAR(A53))</f>
        <v/>
      </c>
      <c r="M53" s="45" t="str">
        <f aca="false">IF(A53="","",COUNTIFS(MOVIMIENTOS!$B$4:$B$20000,A53,MOVIMIENTOS!$H$4:$H$20000,"Por revisar"))</f>
        <v/>
      </c>
      <c r="N53" s="45" t="str">
        <f aca="true">IF(A53="","",IF(A53&lt;DATE(YEAR(TODAY()),MONTH(TODAY()),1),1,0))</f>
        <v/>
      </c>
    </row>
    <row r="54" customFormat="false" ht="15" hidden="false" customHeight="false" outlineLevel="0" collapsed="false">
      <c r="G54" s="43" t="str">
        <f aca="false">IF(A54="","",SUMIFS(MOVIMIENTOS!$E$4:$E$20000,MOVIMIENTOS!$B$4:$B$20000,A54,MOVIMIENTOS!$H$4:$H$20000,"Ingreso")+SUMIFS(FLEXIBLE!$D$4:$D$200,FLEXIBLE!$F$4:$F$200,A54))</f>
        <v/>
      </c>
      <c r="H54" s="43" t="str">
        <f aca="false">IF(A54="","",-SUMIFS(MOVIMIENTOS!$E$4:$E$20000,MOVIMIENTOS!$B$4:$B$20000,A54,MOVIMIENTOS!$H$4:$H$20000,"Gasto")+SUMIFS(FLEXIBLE!$D$4:$D$200,FLEXIBLE!$F$4:$F$200,A54))</f>
        <v/>
      </c>
      <c r="I54" s="43" t="str">
        <f aca="false">IF(A54="","",G54-H54)</f>
        <v/>
      </c>
      <c r="J54" s="44" t="str">
        <f aca="false">IF(A54="","",IF(N54=0,"en curso",IF(N(G54)=0,"",I54/G54)))</f>
        <v/>
      </c>
      <c r="K54" s="43" t="str">
        <f aca="false">IF(A54="","",SUM(B54:F54))</f>
        <v/>
      </c>
      <c r="L54" s="45" t="str">
        <f aca="false">IF(A54="","",YEAR(A54))</f>
        <v/>
      </c>
      <c r="M54" s="45" t="str">
        <f aca="false">IF(A54="","",COUNTIFS(MOVIMIENTOS!$B$4:$B$20000,A54,MOVIMIENTOS!$H$4:$H$20000,"Por revisar"))</f>
        <v/>
      </c>
      <c r="N54" s="45" t="str">
        <f aca="true">IF(A54="","",IF(A54&lt;DATE(YEAR(TODAY()),MONTH(TODAY()),1),1,0))</f>
        <v/>
      </c>
    </row>
    <row r="55" customFormat="false" ht="15" hidden="false" customHeight="false" outlineLevel="0" collapsed="false">
      <c r="G55" s="43" t="str">
        <f aca="false">IF(A55="","",SUMIFS(MOVIMIENTOS!$E$4:$E$20000,MOVIMIENTOS!$B$4:$B$20000,A55,MOVIMIENTOS!$H$4:$H$20000,"Ingreso")+SUMIFS(FLEXIBLE!$D$4:$D$200,FLEXIBLE!$F$4:$F$200,A55))</f>
        <v/>
      </c>
      <c r="H55" s="43" t="str">
        <f aca="false">IF(A55="","",-SUMIFS(MOVIMIENTOS!$E$4:$E$20000,MOVIMIENTOS!$B$4:$B$20000,A55,MOVIMIENTOS!$H$4:$H$20000,"Gasto")+SUMIFS(FLEXIBLE!$D$4:$D$200,FLEXIBLE!$F$4:$F$200,A55))</f>
        <v/>
      </c>
      <c r="I55" s="43" t="str">
        <f aca="false">IF(A55="","",G55-H55)</f>
        <v/>
      </c>
      <c r="J55" s="44" t="str">
        <f aca="false">IF(A55="","",IF(N55=0,"en curso",IF(N(G55)=0,"",I55/G55)))</f>
        <v/>
      </c>
      <c r="K55" s="43" t="str">
        <f aca="false">IF(A55="","",SUM(B55:F55))</f>
        <v/>
      </c>
      <c r="L55" s="45" t="str">
        <f aca="false">IF(A55="","",YEAR(A55))</f>
        <v/>
      </c>
      <c r="M55" s="45" t="str">
        <f aca="false">IF(A55="","",COUNTIFS(MOVIMIENTOS!$B$4:$B$20000,A55,MOVIMIENTOS!$H$4:$H$20000,"Por revisar"))</f>
        <v/>
      </c>
      <c r="N55" s="45" t="str">
        <f aca="true">IF(A55="","",IF(A55&lt;DATE(YEAR(TODAY()),MONTH(TODAY()),1),1,0))</f>
        <v/>
      </c>
    </row>
    <row r="56" customFormat="false" ht="15" hidden="false" customHeight="false" outlineLevel="0" collapsed="false">
      <c r="G56" s="43" t="str">
        <f aca="false">IF(A56="","",SUMIFS(MOVIMIENTOS!$E$4:$E$20000,MOVIMIENTOS!$B$4:$B$20000,A56,MOVIMIENTOS!$H$4:$H$20000,"Ingreso")+SUMIFS(FLEXIBLE!$D$4:$D$200,FLEXIBLE!$F$4:$F$200,A56))</f>
        <v/>
      </c>
      <c r="H56" s="43" t="str">
        <f aca="false">IF(A56="","",-SUMIFS(MOVIMIENTOS!$E$4:$E$20000,MOVIMIENTOS!$B$4:$B$20000,A56,MOVIMIENTOS!$H$4:$H$20000,"Gasto")+SUMIFS(FLEXIBLE!$D$4:$D$200,FLEXIBLE!$F$4:$F$200,A56))</f>
        <v/>
      </c>
      <c r="I56" s="43" t="str">
        <f aca="false">IF(A56="","",G56-H56)</f>
        <v/>
      </c>
      <c r="J56" s="44" t="str">
        <f aca="false">IF(A56="","",IF(N56=0,"en curso",IF(N(G56)=0,"",I56/G56)))</f>
        <v/>
      </c>
      <c r="K56" s="43" t="str">
        <f aca="false">IF(A56="","",SUM(B56:F56))</f>
        <v/>
      </c>
      <c r="L56" s="45" t="str">
        <f aca="false">IF(A56="","",YEAR(A56))</f>
        <v/>
      </c>
      <c r="M56" s="45" t="str">
        <f aca="false">IF(A56="","",COUNTIFS(MOVIMIENTOS!$B$4:$B$20000,A56,MOVIMIENTOS!$H$4:$H$20000,"Por revisar"))</f>
        <v/>
      </c>
      <c r="N56" s="45" t="str">
        <f aca="true">IF(A56="","",IF(A56&lt;DATE(YEAR(TODAY()),MONTH(TODAY()),1),1,0))</f>
        <v/>
      </c>
    </row>
    <row r="57" customFormat="false" ht="15" hidden="false" customHeight="false" outlineLevel="0" collapsed="false">
      <c r="G57" s="43" t="str">
        <f aca="false">IF(A57="","",SUMIFS(MOVIMIENTOS!$E$4:$E$20000,MOVIMIENTOS!$B$4:$B$20000,A57,MOVIMIENTOS!$H$4:$H$20000,"Ingreso")+SUMIFS(FLEXIBLE!$D$4:$D$200,FLEXIBLE!$F$4:$F$200,A57))</f>
        <v/>
      </c>
      <c r="H57" s="43" t="str">
        <f aca="false">IF(A57="","",-SUMIFS(MOVIMIENTOS!$E$4:$E$20000,MOVIMIENTOS!$B$4:$B$20000,A57,MOVIMIENTOS!$H$4:$H$20000,"Gasto")+SUMIFS(FLEXIBLE!$D$4:$D$200,FLEXIBLE!$F$4:$F$200,A57))</f>
        <v/>
      </c>
      <c r="I57" s="43" t="str">
        <f aca="false">IF(A57="","",G57-H57)</f>
        <v/>
      </c>
      <c r="J57" s="44" t="str">
        <f aca="false">IF(A57="","",IF(N57=0,"en curso",IF(N(G57)=0,"",I57/G57)))</f>
        <v/>
      </c>
      <c r="K57" s="43" t="str">
        <f aca="false">IF(A57="","",SUM(B57:F57))</f>
        <v/>
      </c>
      <c r="L57" s="45" t="str">
        <f aca="false">IF(A57="","",YEAR(A57))</f>
        <v/>
      </c>
      <c r="M57" s="45" t="str">
        <f aca="false">IF(A57="","",COUNTIFS(MOVIMIENTOS!$B$4:$B$20000,A57,MOVIMIENTOS!$H$4:$H$20000,"Por revisar"))</f>
        <v/>
      </c>
      <c r="N57" s="45" t="str">
        <f aca="true">IF(A57="","",IF(A57&lt;DATE(YEAR(TODAY()),MONTH(TODAY()),1),1,0))</f>
        <v/>
      </c>
    </row>
    <row r="58" customFormat="false" ht="15" hidden="false" customHeight="false" outlineLevel="0" collapsed="false">
      <c r="G58" s="43" t="str">
        <f aca="false">IF(A58="","",SUMIFS(MOVIMIENTOS!$E$4:$E$20000,MOVIMIENTOS!$B$4:$B$20000,A58,MOVIMIENTOS!$H$4:$H$20000,"Ingreso")+SUMIFS(FLEXIBLE!$D$4:$D$200,FLEXIBLE!$F$4:$F$200,A58))</f>
        <v/>
      </c>
      <c r="H58" s="43" t="str">
        <f aca="false">IF(A58="","",-SUMIFS(MOVIMIENTOS!$E$4:$E$20000,MOVIMIENTOS!$B$4:$B$20000,A58,MOVIMIENTOS!$H$4:$H$20000,"Gasto")+SUMIFS(FLEXIBLE!$D$4:$D$200,FLEXIBLE!$F$4:$F$200,A58))</f>
        <v/>
      </c>
      <c r="I58" s="43" t="str">
        <f aca="false">IF(A58="","",G58-H58)</f>
        <v/>
      </c>
      <c r="J58" s="44" t="str">
        <f aca="false">IF(A58="","",IF(N58=0,"en curso",IF(N(G58)=0,"",I58/G58)))</f>
        <v/>
      </c>
      <c r="K58" s="43" t="str">
        <f aca="false">IF(A58="","",SUM(B58:F58))</f>
        <v/>
      </c>
      <c r="L58" s="45" t="str">
        <f aca="false">IF(A58="","",YEAR(A58))</f>
        <v/>
      </c>
      <c r="M58" s="45" t="str">
        <f aca="false">IF(A58="","",COUNTIFS(MOVIMIENTOS!$B$4:$B$20000,A58,MOVIMIENTOS!$H$4:$H$20000,"Por revisar"))</f>
        <v/>
      </c>
      <c r="N58" s="45" t="str">
        <f aca="true">IF(A58="","",IF(A58&lt;DATE(YEAR(TODAY()),MONTH(TODAY()),1),1,0))</f>
        <v/>
      </c>
    </row>
    <row r="59" customFormat="false" ht="15" hidden="false" customHeight="false" outlineLevel="0" collapsed="false">
      <c r="G59" s="43" t="str">
        <f aca="false">IF(A59="","",SUMIFS(MOVIMIENTOS!$E$4:$E$20000,MOVIMIENTOS!$B$4:$B$20000,A59,MOVIMIENTOS!$H$4:$H$20000,"Ingreso")+SUMIFS(FLEXIBLE!$D$4:$D$200,FLEXIBLE!$F$4:$F$200,A59))</f>
        <v/>
      </c>
      <c r="H59" s="43" t="str">
        <f aca="false">IF(A59="","",-SUMIFS(MOVIMIENTOS!$E$4:$E$20000,MOVIMIENTOS!$B$4:$B$20000,A59,MOVIMIENTOS!$H$4:$H$20000,"Gasto")+SUMIFS(FLEXIBLE!$D$4:$D$200,FLEXIBLE!$F$4:$F$200,A59))</f>
        <v/>
      </c>
      <c r="I59" s="43" t="str">
        <f aca="false">IF(A59="","",G59-H59)</f>
        <v/>
      </c>
      <c r="J59" s="44" t="str">
        <f aca="false">IF(A59="","",IF(N59=0,"en curso",IF(N(G59)=0,"",I59/G59)))</f>
        <v/>
      </c>
      <c r="K59" s="43" t="str">
        <f aca="false">IF(A59="","",SUM(B59:F59))</f>
        <v/>
      </c>
      <c r="L59" s="45" t="str">
        <f aca="false">IF(A59="","",YEAR(A59))</f>
        <v/>
      </c>
      <c r="M59" s="45" t="str">
        <f aca="false">IF(A59="","",COUNTIFS(MOVIMIENTOS!$B$4:$B$20000,A59,MOVIMIENTOS!$H$4:$H$20000,"Por revisar"))</f>
        <v/>
      </c>
      <c r="N59" s="45" t="str">
        <f aca="true">IF(A59="","",IF(A59&lt;DATE(YEAR(TODAY()),MONTH(TODAY()),1),1,0))</f>
        <v/>
      </c>
    </row>
    <row r="60" customFormat="false" ht="15" hidden="false" customHeight="false" outlineLevel="0" collapsed="false">
      <c r="G60" s="43" t="str">
        <f aca="false">IF(A60="","",SUMIFS(MOVIMIENTOS!$E$4:$E$20000,MOVIMIENTOS!$B$4:$B$20000,A60,MOVIMIENTOS!$H$4:$H$20000,"Ingreso")+SUMIFS(FLEXIBLE!$D$4:$D$200,FLEXIBLE!$F$4:$F$200,A60))</f>
        <v/>
      </c>
      <c r="H60" s="43" t="str">
        <f aca="false">IF(A60="","",-SUMIFS(MOVIMIENTOS!$E$4:$E$20000,MOVIMIENTOS!$B$4:$B$20000,A60,MOVIMIENTOS!$H$4:$H$20000,"Gasto")+SUMIFS(FLEXIBLE!$D$4:$D$200,FLEXIBLE!$F$4:$F$200,A60))</f>
        <v/>
      </c>
      <c r="I60" s="43" t="str">
        <f aca="false">IF(A60="","",G60-H60)</f>
        <v/>
      </c>
      <c r="J60" s="44" t="str">
        <f aca="false">IF(A60="","",IF(N60=0,"en curso",IF(N(G60)=0,"",I60/G60)))</f>
        <v/>
      </c>
      <c r="K60" s="43" t="str">
        <f aca="false">IF(A60="","",SUM(B60:F60))</f>
        <v/>
      </c>
      <c r="L60" s="45" t="str">
        <f aca="false">IF(A60="","",YEAR(A60))</f>
        <v/>
      </c>
      <c r="M60" s="45" t="str">
        <f aca="false">IF(A60="","",COUNTIFS(MOVIMIENTOS!$B$4:$B$20000,A60,MOVIMIENTOS!$H$4:$H$20000,"Por revisar"))</f>
        <v/>
      </c>
      <c r="N60" s="45" t="str">
        <f aca="true">IF(A60="","",IF(A60&lt;DATE(YEAR(TODAY()),MONTH(TODAY()),1),1,0))</f>
        <v/>
      </c>
    </row>
    <row r="61" customFormat="false" ht="15" hidden="false" customHeight="false" outlineLevel="0" collapsed="false">
      <c r="G61" s="43" t="str">
        <f aca="false">IF(A61="","",SUMIFS(MOVIMIENTOS!$E$4:$E$20000,MOVIMIENTOS!$B$4:$B$20000,A61,MOVIMIENTOS!$H$4:$H$20000,"Ingreso")+SUMIFS(FLEXIBLE!$D$4:$D$200,FLEXIBLE!$F$4:$F$200,A61))</f>
        <v/>
      </c>
      <c r="H61" s="43" t="str">
        <f aca="false">IF(A61="","",-SUMIFS(MOVIMIENTOS!$E$4:$E$20000,MOVIMIENTOS!$B$4:$B$20000,A61,MOVIMIENTOS!$H$4:$H$20000,"Gasto")+SUMIFS(FLEXIBLE!$D$4:$D$200,FLEXIBLE!$F$4:$F$200,A61))</f>
        <v/>
      </c>
      <c r="I61" s="43" t="str">
        <f aca="false">IF(A61="","",G61-H61)</f>
        <v/>
      </c>
      <c r="J61" s="44" t="str">
        <f aca="false">IF(A61="","",IF(N61=0,"en curso",IF(N(G61)=0,"",I61/G61)))</f>
        <v/>
      </c>
      <c r="K61" s="43" t="str">
        <f aca="false">IF(A61="","",SUM(B61:F61))</f>
        <v/>
      </c>
      <c r="L61" s="45" t="str">
        <f aca="false">IF(A61="","",YEAR(A61))</f>
        <v/>
      </c>
      <c r="M61" s="45" t="str">
        <f aca="false">IF(A61="","",COUNTIFS(MOVIMIENTOS!$B$4:$B$20000,A61,MOVIMIENTOS!$H$4:$H$20000,"Por revisar"))</f>
        <v/>
      </c>
      <c r="N61" s="45" t="str">
        <f aca="true">IF(A61="","",IF(A61&lt;DATE(YEAR(TODAY()),MONTH(TODAY()),1),1,0))</f>
        <v/>
      </c>
    </row>
    <row r="62" customFormat="false" ht="15" hidden="false" customHeight="false" outlineLevel="0" collapsed="false">
      <c r="G62" s="43" t="str">
        <f aca="false">IF(A62="","",SUMIFS(MOVIMIENTOS!$E$4:$E$20000,MOVIMIENTOS!$B$4:$B$20000,A62,MOVIMIENTOS!$H$4:$H$20000,"Ingreso")+SUMIFS(FLEXIBLE!$D$4:$D$200,FLEXIBLE!$F$4:$F$200,A62))</f>
        <v/>
      </c>
      <c r="H62" s="43" t="str">
        <f aca="false">IF(A62="","",-SUMIFS(MOVIMIENTOS!$E$4:$E$20000,MOVIMIENTOS!$B$4:$B$20000,A62,MOVIMIENTOS!$H$4:$H$20000,"Gasto")+SUMIFS(FLEXIBLE!$D$4:$D$200,FLEXIBLE!$F$4:$F$200,A62))</f>
        <v/>
      </c>
      <c r="I62" s="43" t="str">
        <f aca="false">IF(A62="","",G62-H62)</f>
        <v/>
      </c>
      <c r="J62" s="44" t="str">
        <f aca="false">IF(A62="","",IF(N62=0,"en curso",IF(N(G62)=0,"",I62/G62)))</f>
        <v/>
      </c>
      <c r="K62" s="43" t="str">
        <f aca="false">IF(A62="","",SUM(B62:F62))</f>
        <v/>
      </c>
      <c r="L62" s="45" t="str">
        <f aca="false">IF(A62="","",YEAR(A62))</f>
        <v/>
      </c>
      <c r="M62" s="45" t="str">
        <f aca="false">IF(A62="","",COUNTIFS(MOVIMIENTOS!$B$4:$B$20000,A62,MOVIMIENTOS!$H$4:$H$20000,"Por revisar"))</f>
        <v/>
      </c>
      <c r="N62" s="45" t="str">
        <f aca="true">IF(A62="","",IF(A62&lt;DATE(YEAR(TODAY()),MONTH(TODAY()),1),1,0))</f>
        <v/>
      </c>
    </row>
    <row r="63" customFormat="false" ht="15" hidden="false" customHeight="false" outlineLevel="0" collapsed="false">
      <c r="G63" s="43" t="str">
        <f aca="false">IF(A63="","",SUMIFS(MOVIMIENTOS!$E$4:$E$20000,MOVIMIENTOS!$B$4:$B$20000,A63,MOVIMIENTOS!$H$4:$H$20000,"Ingreso")+SUMIFS(FLEXIBLE!$D$4:$D$200,FLEXIBLE!$F$4:$F$200,A63))</f>
        <v/>
      </c>
      <c r="H63" s="43" t="str">
        <f aca="false">IF(A63="","",-SUMIFS(MOVIMIENTOS!$E$4:$E$20000,MOVIMIENTOS!$B$4:$B$20000,A63,MOVIMIENTOS!$H$4:$H$20000,"Gasto")+SUMIFS(FLEXIBLE!$D$4:$D$200,FLEXIBLE!$F$4:$F$200,A63))</f>
        <v/>
      </c>
      <c r="I63" s="43" t="str">
        <f aca="false">IF(A63="","",G63-H63)</f>
        <v/>
      </c>
      <c r="J63" s="44" t="str">
        <f aca="false">IF(A63="","",IF(N63=0,"en curso",IF(N(G63)=0,"",I63/G63)))</f>
        <v/>
      </c>
      <c r="K63" s="43" t="str">
        <f aca="false">IF(A63="","",SUM(B63:F63))</f>
        <v/>
      </c>
      <c r="L63" s="45" t="str">
        <f aca="false">IF(A63="","",YEAR(A63))</f>
        <v/>
      </c>
      <c r="M63" s="45" t="str">
        <f aca="false">IF(A63="","",COUNTIFS(MOVIMIENTOS!$B$4:$B$20000,A63,MOVIMIENTOS!$H$4:$H$20000,"Por revisar"))</f>
        <v/>
      </c>
      <c r="N63" s="45" t="str">
        <f aca="true">IF(A63="","",IF(A63&lt;DATE(YEAR(TODAY()),MONTH(TODAY()),1),1,0))</f>
        <v/>
      </c>
    </row>
    <row r="64" customFormat="false" ht="15" hidden="false" customHeight="false" outlineLevel="0" collapsed="false">
      <c r="G64" s="43" t="str">
        <f aca="false">IF(A64="","",SUMIFS(MOVIMIENTOS!$E$4:$E$20000,MOVIMIENTOS!$B$4:$B$20000,A64,MOVIMIENTOS!$H$4:$H$20000,"Ingreso")+SUMIFS(FLEXIBLE!$D$4:$D$200,FLEXIBLE!$F$4:$F$200,A64))</f>
        <v/>
      </c>
      <c r="H64" s="43" t="str">
        <f aca="false">IF(A64="","",-SUMIFS(MOVIMIENTOS!$E$4:$E$20000,MOVIMIENTOS!$B$4:$B$20000,A64,MOVIMIENTOS!$H$4:$H$20000,"Gasto")+SUMIFS(FLEXIBLE!$D$4:$D$200,FLEXIBLE!$F$4:$F$200,A64))</f>
        <v/>
      </c>
      <c r="I64" s="43" t="str">
        <f aca="false">IF(A64="","",G64-H64)</f>
        <v/>
      </c>
      <c r="J64" s="44" t="str">
        <f aca="false">IF(A64="","",IF(N64=0,"en curso",IF(N(G64)=0,"",I64/G64)))</f>
        <v/>
      </c>
      <c r="K64" s="43" t="str">
        <f aca="false">IF(A64="","",SUM(B64:F64))</f>
        <v/>
      </c>
      <c r="L64" s="45" t="str">
        <f aca="false">IF(A64="","",YEAR(A64))</f>
        <v/>
      </c>
      <c r="M64" s="45" t="str">
        <f aca="false">IF(A64="","",COUNTIFS(MOVIMIENTOS!$B$4:$B$20000,A64,MOVIMIENTOS!$H$4:$H$20000,"Por revisar"))</f>
        <v/>
      </c>
      <c r="N64" s="45" t="str">
        <f aca="true">IF(A64="","",IF(A64&lt;DATE(YEAR(TODAY()),MONTH(TODAY()),1),1,0))</f>
        <v/>
      </c>
    </row>
    <row r="65" customFormat="false" ht="15" hidden="false" customHeight="false" outlineLevel="0" collapsed="false">
      <c r="G65" s="43" t="str">
        <f aca="false">IF(A65="","",SUMIFS(MOVIMIENTOS!$E$4:$E$20000,MOVIMIENTOS!$B$4:$B$20000,A65,MOVIMIENTOS!$H$4:$H$20000,"Ingreso")+SUMIFS(FLEXIBLE!$D$4:$D$200,FLEXIBLE!$F$4:$F$200,A65))</f>
        <v/>
      </c>
      <c r="H65" s="43" t="str">
        <f aca="false">IF(A65="","",-SUMIFS(MOVIMIENTOS!$E$4:$E$20000,MOVIMIENTOS!$B$4:$B$20000,A65,MOVIMIENTOS!$H$4:$H$20000,"Gasto")+SUMIFS(FLEXIBLE!$D$4:$D$200,FLEXIBLE!$F$4:$F$200,A65))</f>
        <v/>
      </c>
      <c r="I65" s="43" t="str">
        <f aca="false">IF(A65="","",G65-H65)</f>
        <v/>
      </c>
      <c r="J65" s="44" t="str">
        <f aca="false">IF(A65="","",IF(N65=0,"en curso",IF(N(G65)=0,"",I65/G65)))</f>
        <v/>
      </c>
      <c r="K65" s="43" t="str">
        <f aca="false">IF(A65="","",SUM(B65:F65))</f>
        <v/>
      </c>
      <c r="L65" s="45" t="str">
        <f aca="false">IF(A65="","",YEAR(A65))</f>
        <v/>
      </c>
      <c r="M65" s="45" t="str">
        <f aca="false">IF(A65="","",COUNTIFS(MOVIMIENTOS!$B$4:$B$20000,A65,MOVIMIENTOS!$H$4:$H$20000,"Por revisar"))</f>
        <v/>
      </c>
      <c r="N65" s="45" t="str">
        <f aca="true">IF(A65="","",IF(A65&lt;DATE(YEAR(TODAY()),MONTH(TODAY()),1),1,0))</f>
        <v/>
      </c>
    </row>
    <row r="66" customFormat="false" ht="15" hidden="false" customHeight="false" outlineLevel="0" collapsed="false">
      <c r="G66" s="43" t="str">
        <f aca="false">IF(A66="","",SUMIFS(MOVIMIENTOS!$E$4:$E$20000,MOVIMIENTOS!$B$4:$B$20000,A66,MOVIMIENTOS!$H$4:$H$20000,"Ingreso")+SUMIFS(FLEXIBLE!$D$4:$D$200,FLEXIBLE!$F$4:$F$200,A66))</f>
        <v/>
      </c>
      <c r="H66" s="43" t="str">
        <f aca="false">IF(A66="","",-SUMIFS(MOVIMIENTOS!$E$4:$E$20000,MOVIMIENTOS!$B$4:$B$20000,A66,MOVIMIENTOS!$H$4:$H$20000,"Gasto")+SUMIFS(FLEXIBLE!$D$4:$D$200,FLEXIBLE!$F$4:$F$200,A66))</f>
        <v/>
      </c>
      <c r="I66" s="43" t="str">
        <f aca="false">IF(A66="","",G66-H66)</f>
        <v/>
      </c>
      <c r="J66" s="44" t="str">
        <f aca="false">IF(A66="","",IF(N66=0,"en curso",IF(N(G66)=0,"",I66/G66)))</f>
        <v/>
      </c>
      <c r="K66" s="43" t="str">
        <f aca="false">IF(A66="","",SUM(B66:F66))</f>
        <v/>
      </c>
      <c r="L66" s="45" t="str">
        <f aca="false">IF(A66="","",YEAR(A66))</f>
        <v/>
      </c>
      <c r="M66" s="45" t="str">
        <f aca="false">IF(A66="","",COUNTIFS(MOVIMIENTOS!$B$4:$B$20000,A66,MOVIMIENTOS!$H$4:$H$20000,"Por revisar"))</f>
        <v/>
      </c>
      <c r="N66" s="45" t="str">
        <f aca="true">IF(A66="","",IF(A66&lt;DATE(YEAR(TODAY()),MONTH(TODAY()),1),1,0))</f>
        <v/>
      </c>
    </row>
    <row r="67" customFormat="false" ht="15" hidden="false" customHeight="false" outlineLevel="0" collapsed="false">
      <c r="G67" s="43" t="str">
        <f aca="false">IF(A67="","",SUMIFS(MOVIMIENTOS!$E$4:$E$20000,MOVIMIENTOS!$B$4:$B$20000,A67,MOVIMIENTOS!$H$4:$H$20000,"Ingreso")+SUMIFS(FLEXIBLE!$D$4:$D$200,FLEXIBLE!$F$4:$F$200,A67))</f>
        <v/>
      </c>
      <c r="H67" s="43" t="str">
        <f aca="false">IF(A67="","",-SUMIFS(MOVIMIENTOS!$E$4:$E$20000,MOVIMIENTOS!$B$4:$B$20000,A67,MOVIMIENTOS!$H$4:$H$20000,"Gasto")+SUMIFS(FLEXIBLE!$D$4:$D$200,FLEXIBLE!$F$4:$F$200,A67))</f>
        <v/>
      </c>
      <c r="I67" s="43" t="str">
        <f aca="false">IF(A67="","",G67-H67)</f>
        <v/>
      </c>
      <c r="J67" s="44" t="str">
        <f aca="false">IF(A67="","",IF(N67=0,"en curso",IF(N(G67)=0,"",I67/G67)))</f>
        <v/>
      </c>
      <c r="K67" s="43" t="str">
        <f aca="false">IF(A67="","",SUM(B67:F67))</f>
        <v/>
      </c>
      <c r="L67" s="45" t="str">
        <f aca="false">IF(A67="","",YEAR(A67))</f>
        <v/>
      </c>
      <c r="M67" s="45" t="str">
        <f aca="false">IF(A67="","",COUNTIFS(MOVIMIENTOS!$B$4:$B$20000,A67,MOVIMIENTOS!$H$4:$H$20000,"Por revisar"))</f>
        <v/>
      </c>
      <c r="N67" s="45" t="str">
        <f aca="true">IF(A67="","",IF(A67&lt;DATE(YEAR(TODAY()),MONTH(TODAY()),1),1,0))</f>
        <v/>
      </c>
    </row>
    <row r="68" customFormat="false" ht="15" hidden="false" customHeight="false" outlineLevel="0" collapsed="false">
      <c r="G68" s="43" t="str">
        <f aca="false">IF(A68="","",SUMIFS(MOVIMIENTOS!$E$4:$E$20000,MOVIMIENTOS!$B$4:$B$20000,A68,MOVIMIENTOS!$H$4:$H$20000,"Ingreso")+SUMIFS(FLEXIBLE!$D$4:$D$200,FLEXIBLE!$F$4:$F$200,A68))</f>
        <v/>
      </c>
      <c r="H68" s="43" t="str">
        <f aca="false">IF(A68="","",-SUMIFS(MOVIMIENTOS!$E$4:$E$20000,MOVIMIENTOS!$B$4:$B$20000,A68,MOVIMIENTOS!$H$4:$H$20000,"Gasto")+SUMIFS(FLEXIBLE!$D$4:$D$200,FLEXIBLE!$F$4:$F$200,A68))</f>
        <v/>
      </c>
      <c r="I68" s="43" t="str">
        <f aca="false">IF(A68="","",G68-H68)</f>
        <v/>
      </c>
      <c r="J68" s="44" t="str">
        <f aca="false">IF(A68="","",IF(N68=0,"en curso",IF(N(G68)=0,"",I68/G68)))</f>
        <v/>
      </c>
      <c r="K68" s="43" t="str">
        <f aca="false">IF(A68="","",SUM(B68:F68))</f>
        <v/>
      </c>
      <c r="L68" s="45" t="str">
        <f aca="false">IF(A68="","",YEAR(A68))</f>
        <v/>
      </c>
      <c r="M68" s="45" t="str">
        <f aca="false">IF(A68="","",COUNTIFS(MOVIMIENTOS!$B$4:$B$20000,A68,MOVIMIENTOS!$H$4:$H$20000,"Por revisar"))</f>
        <v/>
      </c>
      <c r="N68" s="45" t="str">
        <f aca="true">IF(A68="","",IF(A68&lt;DATE(YEAR(TODAY()),MONTH(TODAY()),1),1,0))</f>
        <v/>
      </c>
    </row>
    <row r="69" customFormat="false" ht="15" hidden="false" customHeight="false" outlineLevel="0" collapsed="false">
      <c r="G69" s="43" t="str">
        <f aca="false">IF(A69="","",SUMIFS(MOVIMIENTOS!$E$4:$E$20000,MOVIMIENTOS!$B$4:$B$20000,A69,MOVIMIENTOS!$H$4:$H$20000,"Ingreso")+SUMIFS(FLEXIBLE!$D$4:$D$200,FLEXIBLE!$F$4:$F$200,A69))</f>
        <v/>
      </c>
      <c r="H69" s="43" t="str">
        <f aca="false">IF(A69="","",-SUMIFS(MOVIMIENTOS!$E$4:$E$20000,MOVIMIENTOS!$B$4:$B$20000,A69,MOVIMIENTOS!$H$4:$H$20000,"Gasto")+SUMIFS(FLEXIBLE!$D$4:$D$200,FLEXIBLE!$F$4:$F$200,A69))</f>
        <v/>
      </c>
      <c r="I69" s="43" t="str">
        <f aca="false">IF(A69="","",G69-H69)</f>
        <v/>
      </c>
      <c r="J69" s="44" t="str">
        <f aca="false">IF(A69="","",IF(N69=0,"en curso",IF(N(G69)=0,"",I69/G69)))</f>
        <v/>
      </c>
      <c r="K69" s="43" t="str">
        <f aca="false">IF(A69="","",SUM(B69:F69))</f>
        <v/>
      </c>
      <c r="L69" s="45" t="str">
        <f aca="false">IF(A69="","",YEAR(A69))</f>
        <v/>
      </c>
      <c r="M69" s="45" t="str">
        <f aca="false">IF(A69="","",COUNTIFS(MOVIMIENTOS!$B$4:$B$20000,A69,MOVIMIENTOS!$H$4:$H$20000,"Por revisar"))</f>
        <v/>
      </c>
      <c r="N69" s="45" t="str">
        <f aca="true">IF(A69="","",IF(A69&lt;DATE(YEAR(TODAY()),MONTH(TODAY()),1),1,0))</f>
        <v/>
      </c>
    </row>
    <row r="70" customFormat="false" ht="15" hidden="false" customHeight="false" outlineLevel="0" collapsed="false">
      <c r="G70" s="43" t="str">
        <f aca="false">IF(A70="","",SUMIFS(MOVIMIENTOS!$E$4:$E$20000,MOVIMIENTOS!$B$4:$B$20000,A70,MOVIMIENTOS!$H$4:$H$20000,"Ingreso")+SUMIFS(FLEXIBLE!$D$4:$D$200,FLEXIBLE!$F$4:$F$200,A70))</f>
        <v/>
      </c>
      <c r="H70" s="43" t="str">
        <f aca="false">IF(A70="","",-SUMIFS(MOVIMIENTOS!$E$4:$E$20000,MOVIMIENTOS!$B$4:$B$20000,A70,MOVIMIENTOS!$H$4:$H$20000,"Gasto")+SUMIFS(FLEXIBLE!$D$4:$D$200,FLEXIBLE!$F$4:$F$200,A70))</f>
        <v/>
      </c>
      <c r="I70" s="43" t="str">
        <f aca="false">IF(A70="","",G70-H70)</f>
        <v/>
      </c>
      <c r="J70" s="44" t="str">
        <f aca="false">IF(A70="","",IF(N70=0,"en curso",IF(N(G70)=0,"",I70/G70)))</f>
        <v/>
      </c>
      <c r="K70" s="43" t="str">
        <f aca="false">IF(A70="","",SUM(B70:F70))</f>
        <v/>
      </c>
      <c r="L70" s="45" t="str">
        <f aca="false">IF(A70="","",YEAR(A70))</f>
        <v/>
      </c>
      <c r="M70" s="45" t="str">
        <f aca="false">IF(A70="","",COUNTIFS(MOVIMIENTOS!$B$4:$B$20000,A70,MOVIMIENTOS!$H$4:$H$20000,"Por revisar"))</f>
        <v/>
      </c>
      <c r="N70" s="45" t="str">
        <f aca="true">IF(A70="","",IF(A70&lt;DATE(YEAR(TODAY()),MONTH(TODAY()),1),1,0))</f>
        <v/>
      </c>
    </row>
    <row r="71" customFormat="false" ht="15" hidden="false" customHeight="false" outlineLevel="0" collapsed="false">
      <c r="G71" s="43" t="str">
        <f aca="false">IF(A71="","",SUMIFS(MOVIMIENTOS!$E$4:$E$20000,MOVIMIENTOS!$B$4:$B$20000,A71,MOVIMIENTOS!$H$4:$H$20000,"Ingreso")+SUMIFS(FLEXIBLE!$D$4:$D$200,FLEXIBLE!$F$4:$F$200,A71))</f>
        <v/>
      </c>
      <c r="H71" s="43" t="str">
        <f aca="false">IF(A71="","",-SUMIFS(MOVIMIENTOS!$E$4:$E$20000,MOVIMIENTOS!$B$4:$B$20000,A71,MOVIMIENTOS!$H$4:$H$20000,"Gasto")+SUMIFS(FLEXIBLE!$D$4:$D$200,FLEXIBLE!$F$4:$F$200,A71))</f>
        <v/>
      </c>
      <c r="I71" s="43" t="str">
        <f aca="false">IF(A71="","",G71-H71)</f>
        <v/>
      </c>
      <c r="J71" s="44" t="str">
        <f aca="false">IF(A71="","",IF(N71=0,"en curso",IF(N(G71)=0,"",I71/G71)))</f>
        <v/>
      </c>
      <c r="K71" s="43" t="str">
        <f aca="false">IF(A71="","",SUM(B71:F71))</f>
        <v/>
      </c>
      <c r="L71" s="45" t="str">
        <f aca="false">IF(A71="","",YEAR(A71))</f>
        <v/>
      </c>
      <c r="M71" s="45" t="str">
        <f aca="false">IF(A71="","",COUNTIFS(MOVIMIENTOS!$B$4:$B$20000,A71,MOVIMIENTOS!$H$4:$H$20000,"Por revisar"))</f>
        <v/>
      </c>
      <c r="N71" s="45" t="str">
        <f aca="true">IF(A71="","",IF(A71&lt;DATE(YEAR(TODAY()),MONTH(TODAY()),1),1,0))</f>
        <v/>
      </c>
    </row>
    <row r="72" customFormat="false" ht="15" hidden="false" customHeight="false" outlineLevel="0" collapsed="false">
      <c r="G72" s="43" t="str">
        <f aca="false">IF(A72="","",SUMIFS(MOVIMIENTOS!$E$4:$E$20000,MOVIMIENTOS!$B$4:$B$20000,A72,MOVIMIENTOS!$H$4:$H$20000,"Ingreso")+SUMIFS(FLEXIBLE!$D$4:$D$200,FLEXIBLE!$F$4:$F$200,A72))</f>
        <v/>
      </c>
      <c r="H72" s="43" t="str">
        <f aca="false">IF(A72="","",-SUMIFS(MOVIMIENTOS!$E$4:$E$20000,MOVIMIENTOS!$B$4:$B$20000,A72,MOVIMIENTOS!$H$4:$H$20000,"Gasto")+SUMIFS(FLEXIBLE!$D$4:$D$200,FLEXIBLE!$F$4:$F$200,A72))</f>
        <v/>
      </c>
      <c r="I72" s="43" t="str">
        <f aca="false">IF(A72="","",G72-H72)</f>
        <v/>
      </c>
      <c r="J72" s="44" t="str">
        <f aca="false">IF(A72="","",IF(N72=0,"en curso",IF(N(G72)=0,"",I72/G72)))</f>
        <v/>
      </c>
      <c r="K72" s="43" t="str">
        <f aca="false">IF(A72="","",SUM(B72:F72))</f>
        <v/>
      </c>
      <c r="L72" s="45" t="str">
        <f aca="false">IF(A72="","",YEAR(A72))</f>
        <v/>
      </c>
      <c r="M72" s="45" t="str">
        <f aca="false">IF(A72="","",COUNTIFS(MOVIMIENTOS!$B$4:$B$20000,A72,MOVIMIENTOS!$H$4:$H$20000,"Por revisar"))</f>
        <v/>
      </c>
      <c r="N72" s="45" t="str">
        <f aca="true">IF(A72="","",IF(A72&lt;DATE(YEAR(TODAY()),MONTH(TODAY()),1),1,0))</f>
        <v/>
      </c>
    </row>
    <row r="73" customFormat="false" ht="15" hidden="false" customHeight="false" outlineLevel="0" collapsed="false">
      <c r="G73" s="43" t="str">
        <f aca="false">IF(A73="","",SUMIFS(MOVIMIENTOS!$E$4:$E$20000,MOVIMIENTOS!$B$4:$B$20000,A73,MOVIMIENTOS!$H$4:$H$20000,"Ingreso")+SUMIFS(FLEXIBLE!$D$4:$D$200,FLEXIBLE!$F$4:$F$200,A73))</f>
        <v/>
      </c>
      <c r="H73" s="43" t="str">
        <f aca="false">IF(A73="","",-SUMIFS(MOVIMIENTOS!$E$4:$E$20000,MOVIMIENTOS!$B$4:$B$20000,A73,MOVIMIENTOS!$H$4:$H$20000,"Gasto")+SUMIFS(FLEXIBLE!$D$4:$D$200,FLEXIBLE!$F$4:$F$200,A73))</f>
        <v/>
      </c>
      <c r="I73" s="43" t="str">
        <f aca="false">IF(A73="","",G73-H73)</f>
        <v/>
      </c>
      <c r="J73" s="44" t="str">
        <f aca="false">IF(A73="","",IF(N73=0,"en curso",IF(N(G73)=0,"",I73/G73)))</f>
        <v/>
      </c>
      <c r="K73" s="43" t="str">
        <f aca="false">IF(A73="","",SUM(B73:F73))</f>
        <v/>
      </c>
      <c r="L73" s="45" t="str">
        <f aca="false">IF(A73="","",YEAR(A73))</f>
        <v/>
      </c>
      <c r="M73" s="45" t="str">
        <f aca="false">IF(A73="","",COUNTIFS(MOVIMIENTOS!$B$4:$B$20000,A73,MOVIMIENTOS!$H$4:$H$20000,"Por revisar"))</f>
        <v/>
      </c>
      <c r="N73" s="45" t="str">
        <f aca="true">IF(A73="","",IF(A73&lt;DATE(YEAR(TODAY()),MONTH(TODAY()),1),1,0))</f>
        <v/>
      </c>
    </row>
    <row r="74" customFormat="false" ht="15" hidden="false" customHeight="false" outlineLevel="0" collapsed="false">
      <c r="G74" s="43" t="str">
        <f aca="false">IF(A74="","",SUMIFS(MOVIMIENTOS!$E$4:$E$20000,MOVIMIENTOS!$B$4:$B$20000,A74,MOVIMIENTOS!$H$4:$H$20000,"Ingreso")+SUMIFS(FLEXIBLE!$D$4:$D$200,FLEXIBLE!$F$4:$F$200,A74))</f>
        <v/>
      </c>
      <c r="H74" s="43" t="str">
        <f aca="false">IF(A74="","",-SUMIFS(MOVIMIENTOS!$E$4:$E$20000,MOVIMIENTOS!$B$4:$B$20000,A74,MOVIMIENTOS!$H$4:$H$20000,"Gasto")+SUMIFS(FLEXIBLE!$D$4:$D$200,FLEXIBLE!$F$4:$F$200,A74))</f>
        <v/>
      </c>
      <c r="I74" s="43" t="str">
        <f aca="false">IF(A74="","",G74-H74)</f>
        <v/>
      </c>
      <c r="J74" s="44" t="str">
        <f aca="false">IF(A74="","",IF(N74=0,"en curso",IF(N(G74)=0,"",I74/G74)))</f>
        <v/>
      </c>
      <c r="K74" s="43" t="str">
        <f aca="false">IF(A74="","",SUM(B74:F74))</f>
        <v/>
      </c>
      <c r="L74" s="45" t="str">
        <f aca="false">IF(A74="","",YEAR(A74))</f>
        <v/>
      </c>
      <c r="M74" s="45" t="str">
        <f aca="false">IF(A74="","",COUNTIFS(MOVIMIENTOS!$B$4:$B$20000,A74,MOVIMIENTOS!$H$4:$H$20000,"Por revisar"))</f>
        <v/>
      </c>
      <c r="N74" s="45" t="str">
        <f aca="true">IF(A74="","",IF(A74&lt;DATE(YEAR(TODAY()),MONTH(TODAY()),1),1,0))</f>
        <v/>
      </c>
    </row>
    <row r="75" customFormat="false" ht="15" hidden="false" customHeight="false" outlineLevel="0" collapsed="false">
      <c r="G75" s="43" t="str">
        <f aca="false">IF(A75="","",SUMIFS(MOVIMIENTOS!$E$4:$E$20000,MOVIMIENTOS!$B$4:$B$20000,A75,MOVIMIENTOS!$H$4:$H$20000,"Ingreso")+SUMIFS(FLEXIBLE!$D$4:$D$200,FLEXIBLE!$F$4:$F$200,A75))</f>
        <v/>
      </c>
      <c r="H75" s="43" t="str">
        <f aca="false">IF(A75="","",-SUMIFS(MOVIMIENTOS!$E$4:$E$20000,MOVIMIENTOS!$B$4:$B$20000,A75,MOVIMIENTOS!$H$4:$H$20000,"Gasto")+SUMIFS(FLEXIBLE!$D$4:$D$200,FLEXIBLE!$F$4:$F$200,A75))</f>
        <v/>
      </c>
      <c r="I75" s="43" t="str">
        <f aca="false">IF(A75="","",G75-H75)</f>
        <v/>
      </c>
      <c r="J75" s="44" t="str">
        <f aca="false">IF(A75="","",IF(N75=0,"en curso",IF(N(G75)=0,"",I75/G75)))</f>
        <v/>
      </c>
      <c r="K75" s="43" t="str">
        <f aca="false">IF(A75="","",SUM(B75:F75))</f>
        <v/>
      </c>
      <c r="L75" s="45" t="str">
        <f aca="false">IF(A75="","",YEAR(A75))</f>
        <v/>
      </c>
      <c r="M75" s="45" t="str">
        <f aca="false">IF(A75="","",COUNTIFS(MOVIMIENTOS!$B$4:$B$20000,A75,MOVIMIENTOS!$H$4:$H$20000,"Por revisar"))</f>
        <v/>
      </c>
      <c r="N75" s="45" t="str">
        <f aca="true">IF(A75="","",IF(A75&lt;DATE(YEAR(TODAY()),MONTH(TODAY()),1),1,0))</f>
        <v/>
      </c>
    </row>
    <row r="76" customFormat="false" ht="15" hidden="false" customHeight="false" outlineLevel="0" collapsed="false">
      <c r="G76" s="43" t="str">
        <f aca="false">IF(A76="","",SUMIFS(MOVIMIENTOS!$E$4:$E$20000,MOVIMIENTOS!$B$4:$B$20000,A76,MOVIMIENTOS!$H$4:$H$20000,"Ingreso")+SUMIFS(FLEXIBLE!$D$4:$D$200,FLEXIBLE!$F$4:$F$200,A76))</f>
        <v/>
      </c>
      <c r="H76" s="43" t="str">
        <f aca="false">IF(A76="","",-SUMIFS(MOVIMIENTOS!$E$4:$E$20000,MOVIMIENTOS!$B$4:$B$20000,A76,MOVIMIENTOS!$H$4:$H$20000,"Gasto")+SUMIFS(FLEXIBLE!$D$4:$D$200,FLEXIBLE!$F$4:$F$200,A76))</f>
        <v/>
      </c>
      <c r="I76" s="43" t="str">
        <f aca="false">IF(A76="","",G76-H76)</f>
        <v/>
      </c>
      <c r="J76" s="44" t="str">
        <f aca="false">IF(A76="","",IF(N76=0,"en curso",IF(N(G76)=0,"",I76/G76)))</f>
        <v/>
      </c>
      <c r="K76" s="43" t="str">
        <f aca="false">IF(A76="","",SUM(B76:F76))</f>
        <v/>
      </c>
      <c r="L76" s="45" t="str">
        <f aca="false">IF(A76="","",YEAR(A76))</f>
        <v/>
      </c>
      <c r="M76" s="45" t="str">
        <f aca="false">IF(A76="","",COUNTIFS(MOVIMIENTOS!$B$4:$B$20000,A76,MOVIMIENTOS!$H$4:$H$20000,"Por revisar"))</f>
        <v/>
      </c>
      <c r="N76" s="45" t="str">
        <f aca="true">IF(A76="","",IF(A76&lt;DATE(YEAR(TODAY()),MONTH(TODAY()),1),1,0))</f>
        <v/>
      </c>
    </row>
    <row r="77" customFormat="false" ht="15" hidden="false" customHeight="false" outlineLevel="0" collapsed="false">
      <c r="G77" s="43" t="str">
        <f aca="false">IF(A77="","",SUMIFS(MOVIMIENTOS!$E$4:$E$20000,MOVIMIENTOS!$B$4:$B$20000,A77,MOVIMIENTOS!$H$4:$H$20000,"Ingreso")+SUMIFS(FLEXIBLE!$D$4:$D$200,FLEXIBLE!$F$4:$F$200,A77))</f>
        <v/>
      </c>
      <c r="H77" s="43" t="str">
        <f aca="false">IF(A77="","",-SUMIFS(MOVIMIENTOS!$E$4:$E$20000,MOVIMIENTOS!$B$4:$B$20000,A77,MOVIMIENTOS!$H$4:$H$20000,"Gasto")+SUMIFS(FLEXIBLE!$D$4:$D$200,FLEXIBLE!$F$4:$F$200,A77))</f>
        <v/>
      </c>
      <c r="I77" s="43" t="str">
        <f aca="false">IF(A77="","",G77-H77)</f>
        <v/>
      </c>
      <c r="J77" s="44" t="str">
        <f aca="false">IF(A77="","",IF(N77=0,"en curso",IF(N(G77)=0,"",I77/G77)))</f>
        <v/>
      </c>
      <c r="K77" s="43" t="str">
        <f aca="false">IF(A77="","",SUM(B77:F77))</f>
        <v/>
      </c>
      <c r="L77" s="45" t="str">
        <f aca="false">IF(A77="","",YEAR(A77))</f>
        <v/>
      </c>
      <c r="M77" s="45" t="str">
        <f aca="false">IF(A77="","",COUNTIFS(MOVIMIENTOS!$B$4:$B$20000,A77,MOVIMIENTOS!$H$4:$H$20000,"Por revisar"))</f>
        <v/>
      </c>
      <c r="N77" s="45" t="str">
        <f aca="true">IF(A77="","",IF(A77&lt;DATE(YEAR(TODAY()),MONTH(TODAY()),1),1,0))</f>
        <v/>
      </c>
    </row>
    <row r="78" customFormat="false" ht="15" hidden="false" customHeight="false" outlineLevel="0" collapsed="false">
      <c r="G78" s="43" t="str">
        <f aca="false">IF(A78="","",SUMIFS(MOVIMIENTOS!$E$4:$E$20000,MOVIMIENTOS!$B$4:$B$20000,A78,MOVIMIENTOS!$H$4:$H$20000,"Ingreso")+SUMIFS(FLEXIBLE!$D$4:$D$200,FLEXIBLE!$F$4:$F$200,A78))</f>
        <v/>
      </c>
      <c r="H78" s="43" t="str">
        <f aca="false">IF(A78="","",-SUMIFS(MOVIMIENTOS!$E$4:$E$20000,MOVIMIENTOS!$B$4:$B$20000,A78,MOVIMIENTOS!$H$4:$H$20000,"Gasto")+SUMIFS(FLEXIBLE!$D$4:$D$200,FLEXIBLE!$F$4:$F$200,A78))</f>
        <v/>
      </c>
      <c r="I78" s="43" t="str">
        <f aca="false">IF(A78="","",G78-H78)</f>
        <v/>
      </c>
      <c r="J78" s="44" t="str">
        <f aca="false">IF(A78="","",IF(N78=0,"en curso",IF(N(G78)=0,"",I78/G78)))</f>
        <v/>
      </c>
      <c r="K78" s="43" t="str">
        <f aca="false">IF(A78="","",SUM(B78:F78))</f>
        <v/>
      </c>
      <c r="L78" s="45" t="str">
        <f aca="false">IF(A78="","",YEAR(A78))</f>
        <v/>
      </c>
      <c r="M78" s="45" t="str">
        <f aca="false">IF(A78="","",COUNTIFS(MOVIMIENTOS!$B$4:$B$20000,A78,MOVIMIENTOS!$H$4:$H$20000,"Por revisar"))</f>
        <v/>
      </c>
      <c r="N78" s="45" t="str">
        <f aca="true">IF(A78="","",IF(A78&lt;DATE(YEAR(TODAY()),MONTH(TODAY()),1),1,0))</f>
        <v/>
      </c>
    </row>
    <row r="79" customFormat="false" ht="15" hidden="false" customHeight="false" outlineLevel="0" collapsed="false">
      <c r="G79" s="43" t="str">
        <f aca="false">IF(A79="","",SUMIFS(MOVIMIENTOS!$E$4:$E$20000,MOVIMIENTOS!$B$4:$B$20000,A79,MOVIMIENTOS!$H$4:$H$20000,"Ingreso")+SUMIFS(FLEXIBLE!$D$4:$D$200,FLEXIBLE!$F$4:$F$200,A79))</f>
        <v/>
      </c>
      <c r="H79" s="43" t="str">
        <f aca="false">IF(A79="","",-SUMIFS(MOVIMIENTOS!$E$4:$E$20000,MOVIMIENTOS!$B$4:$B$20000,A79,MOVIMIENTOS!$H$4:$H$20000,"Gasto")+SUMIFS(FLEXIBLE!$D$4:$D$200,FLEXIBLE!$F$4:$F$200,A79))</f>
        <v/>
      </c>
      <c r="I79" s="43" t="str">
        <f aca="false">IF(A79="","",G79-H79)</f>
        <v/>
      </c>
      <c r="J79" s="44" t="str">
        <f aca="false">IF(A79="","",IF(N79=0,"en curso",IF(N(G79)=0,"",I79/G79)))</f>
        <v/>
      </c>
      <c r="K79" s="43" t="str">
        <f aca="false">IF(A79="","",SUM(B79:F79))</f>
        <v/>
      </c>
      <c r="L79" s="45" t="str">
        <f aca="false">IF(A79="","",YEAR(A79))</f>
        <v/>
      </c>
      <c r="M79" s="45" t="str">
        <f aca="false">IF(A79="","",COUNTIFS(MOVIMIENTOS!$B$4:$B$20000,A79,MOVIMIENTOS!$H$4:$H$20000,"Por revisar"))</f>
        <v/>
      </c>
      <c r="N79" s="45" t="str">
        <f aca="true">IF(A79="","",IF(A79&lt;DATE(YEAR(TODAY()),MONTH(TODAY()),1),1,0))</f>
        <v/>
      </c>
    </row>
    <row r="80" customFormat="false" ht="15" hidden="false" customHeight="false" outlineLevel="0" collapsed="false">
      <c r="G80" s="43" t="str">
        <f aca="false">IF(A80="","",SUMIFS(MOVIMIENTOS!$E$4:$E$20000,MOVIMIENTOS!$B$4:$B$20000,A80,MOVIMIENTOS!$H$4:$H$20000,"Ingreso")+SUMIFS(FLEXIBLE!$D$4:$D$200,FLEXIBLE!$F$4:$F$200,A80))</f>
        <v/>
      </c>
      <c r="H80" s="43" t="str">
        <f aca="false">IF(A80="","",-SUMIFS(MOVIMIENTOS!$E$4:$E$20000,MOVIMIENTOS!$B$4:$B$20000,A80,MOVIMIENTOS!$H$4:$H$20000,"Gasto")+SUMIFS(FLEXIBLE!$D$4:$D$200,FLEXIBLE!$F$4:$F$200,A80))</f>
        <v/>
      </c>
      <c r="I80" s="43" t="str">
        <f aca="false">IF(A80="","",G80-H80)</f>
        <v/>
      </c>
      <c r="J80" s="44" t="str">
        <f aca="false">IF(A80="","",IF(N80=0,"en curso",IF(N(G80)=0,"",I80/G80)))</f>
        <v/>
      </c>
      <c r="K80" s="43" t="str">
        <f aca="false">IF(A80="","",SUM(B80:F80))</f>
        <v/>
      </c>
      <c r="L80" s="45" t="str">
        <f aca="false">IF(A80="","",YEAR(A80))</f>
        <v/>
      </c>
      <c r="M80" s="45" t="str">
        <f aca="false">IF(A80="","",COUNTIFS(MOVIMIENTOS!$B$4:$B$20000,A80,MOVIMIENTOS!$H$4:$H$20000,"Por revisar"))</f>
        <v/>
      </c>
      <c r="N80" s="45" t="str">
        <f aca="true">IF(A80="","",IF(A80&lt;DATE(YEAR(TODAY()),MONTH(TODAY()),1),1,0))</f>
        <v/>
      </c>
    </row>
    <row r="81" customFormat="false" ht="15" hidden="false" customHeight="false" outlineLevel="0" collapsed="false">
      <c r="G81" s="43" t="str">
        <f aca="false">IF(A81="","",SUMIFS(MOVIMIENTOS!$E$4:$E$20000,MOVIMIENTOS!$B$4:$B$20000,A81,MOVIMIENTOS!$H$4:$H$20000,"Ingreso")+SUMIFS(FLEXIBLE!$D$4:$D$200,FLEXIBLE!$F$4:$F$200,A81))</f>
        <v/>
      </c>
      <c r="H81" s="43" t="str">
        <f aca="false">IF(A81="","",-SUMIFS(MOVIMIENTOS!$E$4:$E$20000,MOVIMIENTOS!$B$4:$B$20000,A81,MOVIMIENTOS!$H$4:$H$20000,"Gasto")+SUMIFS(FLEXIBLE!$D$4:$D$200,FLEXIBLE!$F$4:$F$200,A81))</f>
        <v/>
      </c>
      <c r="I81" s="43" t="str">
        <f aca="false">IF(A81="","",G81-H81)</f>
        <v/>
      </c>
      <c r="J81" s="44" t="str">
        <f aca="false">IF(A81="","",IF(N81=0,"en curso",IF(N(G81)=0,"",I81/G81)))</f>
        <v/>
      </c>
      <c r="K81" s="43" t="str">
        <f aca="false">IF(A81="","",SUM(B81:F81))</f>
        <v/>
      </c>
      <c r="L81" s="45" t="str">
        <f aca="false">IF(A81="","",YEAR(A81))</f>
        <v/>
      </c>
      <c r="M81" s="45" t="str">
        <f aca="false">IF(A81="","",COUNTIFS(MOVIMIENTOS!$B$4:$B$20000,A81,MOVIMIENTOS!$H$4:$H$20000,"Por revisar"))</f>
        <v/>
      </c>
      <c r="N81" s="45" t="str">
        <f aca="true">IF(A81="","",IF(A81&lt;DATE(YEAR(TODAY()),MONTH(TODAY()),1),1,0))</f>
        <v/>
      </c>
    </row>
    <row r="82" customFormat="false" ht="15" hidden="false" customHeight="false" outlineLevel="0" collapsed="false">
      <c r="G82" s="43" t="str">
        <f aca="false">IF(A82="","",SUMIFS(MOVIMIENTOS!$E$4:$E$20000,MOVIMIENTOS!$B$4:$B$20000,A82,MOVIMIENTOS!$H$4:$H$20000,"Ingreso")+SUMIFS(FLEXIBLE!$D$4:$D$200,FLEXIBLE!$F$4:$F$200,A82))</f>
        <v/>
      </c>
      <c r="H82" s="43" t="str">
        <f aca="false">IF(A82="","",-SUMIFS(MOVIMIENTOS!$E$4:$E$20000,MOVIMIENTOS!$B$4:$B$20000,A82,MOVIMIENTOS!$H$4:$H$20000,"Gasto")+SUMIFS(FLEXIBLE!$D$4:$D$200,FLEXIBLE!$F$4:$F$200,A82))</f>
        <v/>
      </c>
      <c r="I82" s="43" t="str">
        <f aca="false">IF(A82="","",G82-H82)</f>
        <v/>
      </c>
      <c r="J82" s="44" t="str">
        <f aca="false">IF(A82="","",IF(N82=0,"en curso",IF(N(G82)=0,"",I82/G82)))</f>
        <v/>
      </c>
      <c r="K82" s="43" t="str">
        <f aca="false">IF(A82="","",SUM(B82:F82))</f>
        <v/>
      </c>
      <c r="L82" s="45" t="str">
        <f aca="false">IF(A82="","",YEAR(A82))</f>
        <v/>
      </c>
      <c r="M82" s="45" t="str">
        <f aca="false">IF(A82="","",COUNTIFS(MOVIMIENTOS!$B$4:$B$20000,A82,MOVIMIENTOS!$H$4:$H$20000,"Por revisar"))</f>
        <v/>
      </c>
      <c r="N82" s="45" t="str">
        <f aca="true">IF(A82="","",IF(A82&lt;DATE(YEAR(TODAY()),MONTH(TODAY()),1),1,0))</f>
        <v/>
      </c>
    </row>
    <row r="83" customFormat="false" ht="15" hidden="false" customHeight="false" outlineLevel="0" collapsed="false">
      <c r="G83" s="43" t="str">
        <f aca="false">IF(A83="","",SUMIFS(MOVIMIENTOS!$E$4:$E$20000,MOVIMIENTOS!$B$4:$B$20000,A83,MOVIMIENTOS!$H$4:$H$20000,"Ingreso")+SUMIFS(FLEXIBLE!$D$4:$D$200,FLEXIBLE!$F$4:$F$200,A83))</f>
        <v/>
      </c>
      <c r="H83" s="43" t="str">
        <f aca="false">IF(A83="","",-SUMIFS(MOVIMIENTOS!$E$4:$E$20000,MOVIMIENTOS!$B$4:$B$20000,A83,MOVIMIENTOS!$H$4:$H$20000,"Gasto")+SUMIFS(FLEXIBLE!$D$4:$D$200,FLEXIBLE!$F$4:$F$200,A83))</f>
        <v/>
      </c>
      <c r="I83" s="43" t="str">
        <f aca="false">IF(A83="","",G83-H83)</f>
        <v/>
      </c>
      <c r="J83" s="44" t="str">
        <f aca="false">IF(A83="","",IF(N83=0,"en curso",IF(N(G83)=0,"",I83/G83)))</f>
        <v/>
      </c>
      <c r="K83" s="43" t="str">
        <f aca="false">IF(A83="","",SUM(B83:F83))</f>
        <v/>
      </c>
      <c r="L83" s="45" t="str">
        <f aca="false">IF(A83="","",YEAR(A83))</f>
        <v/>
      </c>
      <c r="M83" s="45" t="str">
        <f aca="false">IF(A83="","",COUNTIFS(MOVIMIENTOS!$B$4:$B$20000,A83,MOVIMIENTOS!$H$4:$H$20000,"Por revisar"))</f>
        <v/>
      </c>
      <c r="N83" s="45" t="str">
        <f aca="true">IF(A83="","",IF(A83&lt;DATE(YEAR(TODAY()),MONTH(TODAY()),1),1,0))</f>
        <v/>
      </c>
    </row>
    <row r="84" customFormat="false" ht="15" hidden="false" customHeight="false" outlineLevel="0" collapsed="false">
      <c r="G84" s="43" t="str">
        <f aca="false">IF(A84="","",SUMIFS(MOVIMIENTOS!$E$4:$E$20000,MOVIMIENTOS!$B$4:$B$20000,A84,MOVIMIENTOS!$H$4:$H$20000,"Ingreso")+SUMIFS(FLEXIBLE!$D$4:$D$200,FLEXIBLE!$F$4:$F$200,A84))</f>
        <v/>
      </c>
      <c r="H84" s="43" t="str">
        <f aca="false">IF(A84="","",-SUMIFS(MOVIMIENTOS!$E$4:$E$20000,MOVIMIENTOS!$B$4:$B$20000,A84,MOVIMIENTOS!$H$4:$H$20000,"Gasto")+SUMIFS(FLEXIBLE!$D$4:$D$200,FLEXIBLE!$F$4:$F$200,A84))</f>
        <v/>
      </c>
      <c r="I84" s="43" t="str">
        <f aca="false">IF(A84="","",G84-H84)</f>
        <v/>
      </c>
      <c r="J84" s="44" t="str">
        <f aca="false">IF(A84="","",IF(N84=0,"en curso",IF(N(G84)=0,"",I84/G84)))</f>
        <v/>
      </c>
      <c r="K84" s="43" t="str">
        <f aca="false">IF(A84="","",SUM(B84:F84))</f>
        <v/>
      </c>
      <c r="L84" s="45" t="str">
        <f aca="false">IF(A84="","",YEAR(A84))</f>
        <v/>
      </c>
      <c r="M84" s="45" t="str">
        <f aca="false">IF(A84="","",COUNTIFS(MOVIMIENTOS!$B$4:$B$20000,A84,MOVIMIENTOS!$H$4:$H$20000,"Por revisar"))</f>
        <v/>
      </c>
      <c r="N84" s="45" t="str">
        <f aca="true">IF(A84="","",IF(A84&lt;DATE(YEAR(TODAY()),MONTH(TODAY()),1),1,0))</f>
        <v/>
      </c>
    </row>
    <row r="85" customFormat="false" ht="15" hidden="false" customHeight="false" outlineLevel="0" collapsed="false">
      <c r="G85" s="43" t="str">
        <f aca="false">IF(A85="","",SUMIFS(MOVIMIENTOS!$E$4:$E$20000,MOVIMIENTOS!$B$4:$B$20000,A85,MOVIMIENTOS!$H$4:$H$20000,"Ingreso")+SUMIFS(FLEXIBLE!$D$4:$D$200,FLEXIBLE!$F$4:$F$200,A85))</f>
        <v/>
      </c>
      <c r="H85" s="43" t="str">
        <f aca="false">IF(A85="","",-SUMIFS(MOVIMIENTOS!$E$4:$E$20000,MOVIMIENTOS!$B$4:$B$20000,A85,MOVIMIENTOS!$H$4:$H$20000,"Gasto")+SUMIFS(FLEXIBLE!$D$4:$D$200,FLEXIBLE!$F$4:$F$200,A85))</f>
        <v/>
      </c>
      <c r="I85" s="43" t="str">
        <f aca="false">IF(A85="","",G85-H85)</f>
        <v/>
      </c>
      <c r="J85" s="44" t="str">
        <f aca="false">IF(A85="","",IF(N85=0,"en curso",IF(N(G85)=0,"",I85/G85)))</f>
        <v/>
      </c>
      <c r="K85" s="43" t="str">
        <f aca="false">IF(A85="","",SUM(B85:F85))</f>
        <v/>
      </c>
      <c r="L85" s="45" t="str">
        <f aca="false">IF(A85="","",YEAR(A85))</f>
        <v/>
      </c>
      <c r="M85" s="45" t="str">
        <f aca="false">IF(A85="","",COUNTIFS(MOVIMIENTOS!$B$4:$B$20000,A85,MOVIMIENTOS!$H$4:$H$20000,"Por revisar"))</f>
        <v/>
      </c>
      <c r="N85" s="45" t="str">
        <f aca="true">IF(A85="","",IF(A85&lt;DATE(YEAR(TODAY()),MONTH(TODAY()),1),1,0))</f>
        <v/>
      </c>
    </row>
    <row r="86" customFormat="false" ht="15" hidden="false" customHeight="false" outlineLevel="0" collapsed="false">
      <c r="G86" s="43" t="str">
        <f aca="false">IF(A86="","",SUMIFS(MOVIMIENTOS!$E$4:$E$20000,MOVIMIENTOS!$B$4:$B$20000,A86,MOVIMIENTOS!$H$4:$H$20000,"Ingreso")+SUMIFS(FLEXIBLE!$D$4:$D$200,FLEXIBLE!$F$4:$F$200,A86))</f>
        <v/>
      </c>
      <c r="H86" s="43" t="str">
        <f aca="false">IF(A86="","",-SUMIFS(MOVIMIENTOS!$E$4:$E$20000,MOVIMIENTOS!$B$4:$B$20000,A86,MOVIMIENTOS!$H$4:$H$20000,"Gasto")+SUMIFS(FLEXIBLE!$D$4:$D$200,FLEXIBLE!$F$4:$F$200,A86))</f>
        <v/>
      </c>
      <c r="I86" s="43" t="str">
        <f aca="false">IF(A86="","",G86-H86)</f>
        <v/>
      </c>
      <c r="J86" s="44" t="str">
        <f aca="false">IF(A86="","",IF(N86=0,"en curso",IF(N(G86)=0,"",I86/G86)))</f>
        <v/>
      </c>
      <c r="K86" s="43" t="str">
        <f aca="false">IF(A86="","",SUM(B86:F86))</f>
        <v/>
      </c>
      <c r="L86" s="45" t="str">
        <f aca="false">IF(A86="","",YEAR(A86))</f>
        <v/>
      </c>
      <c r="M86" s="45" t="str">
        <f aca="false">IF(A86="","",COUNTIFS(MOVIMIENTOS!$B$4:$B$20000,A86,MOVIMIENTOS!$H$4:$H$20000,"Por revisar"))</f>
        <v/>
      </c>
      <c r="N86" s="45" t="str">
        <f aca="true">IF(A86="","",IF(A86&lt;DATE(YEAR(TODAY()),MONTH(TODAY()),1),1,0))</f>
        <v/>
      </c>
    </row>
    <row r="87" customFormat="false" ht="15" hidden="false" customHeight="false" outlineLevel="0" collapsed="false">
      <c r="G87" s="43" t="str">
        <f aca="false">IF(A87="","",SUMIFS(MOVIMIENTOS!$E$4:$E$20000,MOVIMIENTOS!$B$4:$B$20000,A87,MOVIMIENTOS!$H$4:$H$20000,"Ingreso")+SUMIFS(FLEXIBLE!$D$4:$D$200,FLEXIBLE!$F$4:$F$200,A87))</f>
        <v/>
      </c>
      <c r="H87" s="43" t="str">
        <f aca="false">IF(A87="","",-SUMIFS(MOVIMIENTOS!$E$4:$E$20000,MOVIMIENTOS!$B$4:$B$20000,A87,MOVIMIENTOS!$H$4:$H$20000,"Gasto")+SUMIFS(FLEXIBLE!$D$4:$D$200,FLEXIBLE!$F$4:$F$200,A87))</f>
        <v/>
      </c>
      <c r="I87" s="43" t="str">
        <f aca="false">IF(A87="","",G87-H87)</f>
        <v/>
      </c>
      <c r="J87" s="44" t="str">
        <f aca="false">IF(A87="","",IF(N87=0,"en curso",IF(N(G87)=0,"",I87/G87)))</f>
        <v/>
      </c>
      <c r="K87" s="43" t="str">
        <f aca="false">IF(A87="","",SUM(B87:F87))</f>
        <v/>
      </c>
      <c r="L87" s="45" t="str">
        <f aca="false">IF(A87="","",YEAR(A87))</f>
        <v/>
      </c>
      <c r="M87" s="45" t="str">
        <f aca="false">IF(A87="","",COUNTIFS(MOVIMIENTOS!$B$4:$B$20000,A87,MOVIMIENTOS!$H$4:$H$20000,"Por revisar"))</f>
        <v/>
      </c>
      <c r="N87" s="45" t="str">
        <f aca="true">IF(A87="","",IF(A87&lt;DATE(YEAR(TODAY()),MONTH(TODAY()),1),1,0))</f>
        <v/>
      </c>
    </row>
    <row r="88" customFormat="false" ht="15" hidden="false" customHeight="false" outlineLevel="0" collapsed="false">
      <c r="G88" s="43" t="str">
        <f aca="false">IF(A88="","",SUMIFS(MOVIMIENTOS!$E$4:$E$20000,MOVIMIENTOS!$B$4:$B$20000,A88,MOVIMIENTOS!$H$4:$H$20000,"Ingreso")+SUMIFS(FLEXIBLE!$D$4:$D$200,FLEXIBLE!$F$4:$F$200,A88))</f>
        <v/>
      </c>
      <c r="H88" s="43" t="str">
        <f aca="false">IF(A88="","",-SUMIFS(MOVIMIENTOS!$E$4:$E$20000,MOVIMIENTOS!$B$4:$B$20000,A88,MOVIMIENTOS!$H$4:$H$20000,"Gasto")+SUMIFS(FLEXIBLE!$D$4:$D$200,FLEXIBLE!$F$4:$F$200,A88))</f>
        <v/>
      </c>
      <c r="I88" s="43" t="str">
        <f aca="false">IF(A88="","",G88-H88)</f>
        <v/>
      </c>
      <c r="J88" s="44" t="str">
        <f aca="false">IF(A88="","",IF(N88=0,"en curso",IF(N(G88)=0,"",I88/G88)))</f>
        <v/>
      </c>
      <c r="K88" s="43" t="str">
        <f aca="false">IF(A88="","",SUM(B88:F88))</f>
        <v/>
      </c>
      <c r="L88" s="45" t="str">
        <f aca="false">IF(A88="","",YEAR(A88))</f>
        <v/>
      </c>
      <c r="M88" s="45" t="str">
        <f aca="false">IF(A88="","",COUNTIFS(MOVIMIENTOS!$B$4:$B$20000,A88,MOVIMIENTOS!$H$4:$H$20000,"Por revisar"))</f>
        <v/>
      </c>
      <c r="N88" s="45" t="str">
        <f aca="true">IF(A88="","",IF(A88&lt;DATE(YEAR(TODAY()),MONTH(TODAY()),1),1,0))</f>
        <v/>
      </c>
    </row>
    <row r="89" customFormat="false" ht="15" hidden="false" customHeight="false" outlineLevel="0" collapsed="false">
      <c r="G89" s="43" t="str">
        <f aca="false">IF(A89="","",SUMIFS(MOVIMIENTOS!$E$4:$E$20000,MOVIMIENTOS!$B$4:$B$20000,A89,MOVIMIENTOS!$H$4:$H$20000,"Ingreso")+SUMIFS(FLEXIBLE!$D$4:$D$200,FLEXIBLE!$F$4:$F$200,A89))</f>
        <v/>
      </c>
      <c r="H89" s="43" t="str">
        <f aca="false">IF(A89="","",-SUMIFS(MOVIMIENTOS!$E$4:$E$20000,MOVIMIENTOS!$B$4:$B$20000,A89,MOVIMIENTOS!$H$4:$H$20000,"Gasto")+SUMIFS(FLEXIBLE!$D$4:$D$200,FLEXIBLE!$F$4:$F$200,A89))</f>
        <v/>
      </c>
      <c r="I89" s="43" t="str">
        <f aca="false">IF(A89="","",G89-H89)</f>
        <v/>
      </c>
      <c r="J89" s="44" t="str">
        <f aca="false">IF(A89="","",IF(N89=0,"en curso",IF(N(G89)=0,"",I89/G89)))</f>
        <v/>
      </c>
      <c r="K89" s="43" t="str">
        <f aca="false">IF(A89="","",SUM(B89:F89))</f>
        <v/>
      </c>
      <c r="L89" s="45" t="str">
        <f aca="false">IF(A89="","",YEAR(A89))</f>
        <v/>
      </c>
      <c r="M89" s="45" t="str">
        <f aca="false">IF(A89="","",COUNTIFS(MOVIMIENTOS!$B$4:$B$20000,A89,MOVIMIENTOS!$H$4:$H$20000,"Por revisar"))</f>
        <v/>
      </c>
      <c r="N89" s="45" t="str">
        <f aca="true">IF(A89="","",IF(A89&lt;DATE(YEAR(TODAY()),MONTH(TODAY()),1),1,0))</f>
        <v/>
      </c>
    </row>
    <row r="90" customFormat="false" ht="15" hidden="false" customHeight="false" outlineLevel="0" collapsed="false">
      <c r="G90" s="43" t="str">
        <f aca="false">IF(A90="","",SUMIFS(MOVIMIENTOS!$E$4:$E$20000,MOVIMIENTOS!$B$4:$B$20000,A90,MOVIMIENTOS!$H$4:$H$20000,"Ingreso")+SUMIFS(FLEXIBLE!$D$4:$D$200,FLEXIBLE!$F$4:$F$200,A90))</f>
        <v/>
      </c>
      <c r="H90" s="43" t="str">
        <f aca="false">IF(A90="","",-SUMIFS(MOVIMIENTOS!$E$4:$E$20000,MOVIMIENTOS!$B$4:$B$20000,A90,MOVIMIENTOS!$H$4:$H$20000,"Gasto")+SUMIFS(FLEXIBLE!$D$4:$D$200,FLEXIBLE!$F$4:$F$200,A90))</f>
        <v/>
      </c>
      <c r="I90" s="43" t="str">
        <f aca="false">IF(A90="","",G90-H90)</f>
        <v/>
      </c>
      <c r="J90" s="44" t="str">
        <f aca="false">IF(A90="","",IF(N90=0,"en curso",IF(N(G90)=0,"",I90/G90)))</f>
        <v/>
      </c>
      <c r="K90" s="43" t="str">
        <f aca="false">IF(A90="","",SUM(B90:F90))</f>
        <v/>
      </c>
      <c r="L90" s="45" t="str">
        <f aca="false">IF(A90="","",YEAR(A90))</f>
        <v/>
      </c>
      <c r="M90" s="45" t="str">
        <f aca="false">IF(A90="","",COUNTIFS(MOVIMIENTOS!$B$4:$B$20000,A90,MOVIMIENTOS!$H$4:$H$20000,"Por revisar"))</f>
        <v/>
      </c>
      <c r="N90" s="45" t="str">
        <f aca="true">IF(A90="","",IF(A90&lt;DATE(YEAR(TODAY()),MONTH(TODAY()),1),1,0))</f>
        <v/>
      </c>
    </row>
    <row r="91" customFormat="false" ht="15" hidden="false" customHeight="false" outlineLevel="0" collapsed="false">
      <c r="G91" s="43" t="str">
        <f aca="false">IF(A91="","",SUMIFS(MOVIMIENTOS!$E$4:$E$20000,MOVIMIENTOS!$B$4:$B$20000,A91,MOVIMIENTOS!$H$4:$H$20000,"Ingreso")+SUMIFS(FLEXIBLE!$D$4:$D$200,FLEXIBLE!$F$4:$F$200,A91))</f>
        <v/>
      </c>
      <c r="H91" s="43" t="str">
        <f aca="false">IF(A91="","",-SUMIFS(MOVIMIENTOS!$E$4:$E$20000,MOVIMIENTOS!$B$4:$B$20000,A91,MOVIMIENTOS!$H$4:$H$20000,"Gasto")+SUMIFS(FLEXIBLE!$D$4:$D$200,FLEXIBLE!$F$4:$F$200,A91))</f>
        <v/>
      </c>
      <c r="I91" s="43" t="str">
        <f aca="false">IF(A91="","",G91-H91)</f>
        <v/>
      </c>
      <c r="J91" s="44" t="str">
        <f aca="false">IF(A91="","",IF(N91=0,"en curso",IF(N(G91)=0,"",I91/G91)))</f>
        <v/>
      </c>
      <c r="K91" s="43" t="str">
        <f aca="false">IF(A91="","",SUM(B91:F91))</f>
        <v/>
      </c>
      <c r="L91" s="45" t="str">
        <f aca="false">IF(A91="","",YEAR(A91))</f>
        <v/>
      </c>
      <c r="M91" s="45" t="str">
        <f aca="false">IF(A91="","",COUNTIFS(MOVIMIENTOS!$B$4:$B$20000,A91,MOVIMIENTOS!$H$4:$H$20000,"Por revisar"))</f>
        <v/>
      </c>
      <c r="N91" s="45" t="str">
        <f aca="true">IF(A91="","",IF(A91&lt;DATE(YEAR(TODAY()),MONTH(TODAY()),1),1,0))</f>
        <v/>
      </c>
    </row>
    <row r="92" customFormat="false" ht="15" hidden="false" customHeight="false" outlineLevel="0" collapsed="false">
      <c r="G92" s="43" t="str">
        <f aca="false">IF(A92="","",SUMIFS(MOVIMIENTOS!$E$4:$E$20000,MOVIMIENTOS!$B$4:$B$20000,A92,MOVIMIENTOS!$H$4:$H$20000,"Ingreso")+SUMIFS(FLEXIBLE!$D$4:$D$200,FLEXIBLE!$F$4:$F$200,A92))</f>
        <v/>
      </c>
      <c r="H92" s="43" t="str">
        <f aca="false">IF(A92="","",-SUMIFS(MOVIMIENTOS!$E$4:$E$20000,MOVIMIENTOS!$B$4:$B$20000,A92,MOVIMIENTOS!$H$4:$H$20000,"Gasto")+SUMIFS(FLEXIBLE!$D$4:$D$200,FLEXIBLE!$F$4:$F$200,A92))</f>
        <v/>
      </c>
      <c r="I92" s="43" t="str">
        <f aca="false">IF(A92="","",G92-H92)</f>
        <v/>
      </c>
      <c r="J92" s="44" t="str">
        <f aca="false">IF(A92="","",IF(N92=0,"en curso",IF(N(G92)=0,"",I92/G92)))</f>
        <v/>
      </c>
      <c r="K92" s="43" t="str">
        <f aca="false">IF(A92="","",SUM(B92:F92))</f>
        <v/>
      </c>
      <c r="L92" s="45" t="str">
        <f aca="false">IF(A92="","",YEAR(A92))</f>
        <v/>
      </c>
      <c r="M92" s="45" t="str">
        <f aca="false">IF(A92="","",COUNTIFS(MOVIMIENTOS!$B$4:$B$20000,A92,MOVIMIENTOS!$H$4:$H$20000,"Por revisar"))</f>
        <v/>
      </c>
      <c r="N92" s="45" t="str">
        <f aca="true">IF(A92="","",IF(A92&lt;DATE(YEAR(TODAY()),MONTH(TODAY()),1),1,0))</f>
        <v/>
      </c>
    </row>
    <row r="93" customFormat="false" ht="15" hidden="false" customHeight="false" outlineLevel="0" collapsed="false">
      <c r="G93" s="43" t="str">
        <f aca="false">IF(A93="","",SUMIFS(MOVIMIENTOS!$E$4:$E$20000,MOVIMIENTOS!$B$4:$B$20000,A93,MOVIMIENTOS!$H$4:$H$20000,"Ingreso")+SUMIFS(FLEXIBLE!$D$4:$D$200,FLEXIBLE!$F$4:$F$200,A93))</f>
        <v/>
      </c>
      <c r="H93" s="43" t="str">
        <f aca="false">IF(A93="","",-SUMIFS(MOVIMIENTOS!$E$4:$E$20000,MOVIMIENTOS!$B$4:$B$20000,A93,MOVIMIENTOS!$H$4:$H$20000,"Gasto")+SUMIFS(FLEXIBLE!$D$4:$D$200,FLEXIBLE!$F$4:$F$200,A93))</f>
        <v/>
      </c>
      <c r="I93" s="43" t="str">
        <f aca="false">IF(A93="","",G93-H93)</f>
        <v/>
      </c>
      <c r="J93" s="44" t="str">
        <f aca="false">IF(A93="","",IF(N93=0,"en curso",IF(N(G93)=0,"",I93/G93)))</f>
        <v/>
      </c>
      <c r="K93" s="43" t="str">
        <f aca="false">IF(A93="","",SUM(B93:F93))</f>
        <v/>
      </c>
      <c r="L93" s="45" t="str">
        <f aca="false">IF(A93="","",YEAR(A93))</f>
        <v/>
      </c>
      <c r="M93" s="45" t="str">
        <f aca="false">IF(A93="","",COUNTIFS(MOVIMIENTOS!$B$4:$B$20000,A93,MOVIMIENTOS!$H$4:$H$20000,"Por revisar"))</f>
        <v/>
      </c>
      <c r="N93" s="45" t="str">
        <f aca="true">IF(A93="","",IF(A93&lt;DATE(YEAR(TODAY()),MONTH(TODAY()),1),1,0))</f>
        <v/>
      </c>
    </row>
    <row r="94" customFormat="false" ht="15" hidden="false" customHeight="false" outlineLevel="0" collapsed="false">
      <c r="G94" s="43" t="str">
        <f aca="false">IF(A94="","",SUMIFS(MOVIMIENTOS!$E$4:$E$20000,MOVIMIENTOS!$B$4:$B$20000,A94,MOVIMIENTOS!$H$4:$H$20000,"Ingreso")+SUMIFS(FLEXIBLE!$D$4:$D$200,FLEXIBLE!$F$4:$F$200,A94))</f>
        <v/>
      </c>
      <c r="H94" s="43" t="str">
        <f aca="false">IF(A94="","",-SUMIFS(MOVIMIENTOS!$E$4:$E$20000,MOVIMIENTOS!$B$4:$B$20000,A94,MOVIMIENTOS!$H$4:$H$20000,"Gasto")+SUMIFS(FLEXIBLE!$D$4:$D$200,FLEXIBLE!$F$4:$F$200,A94))</f>
        <v/>
      </c>
      <c r="I94" s="43" t="str">
        <f aca="false">IF(A94="","",G94-H94)</f>
        <v/>
      </c>
      <c r="J94" s="44" t="str">
        <f aca="false">IF(A94="","",IF(N94=0,"en curso",IF(N(G94)=0,"",I94/G94)))</f>
        <v/>
      </c>
      <c r="K94" s="43" t="str">
        <f aca="false">IF(A94="","",SUM(B94:F94))</f>
        <v/>
      </c>
      <c r="L94" s="45" t="str">
        <f aca="false">IF(A94="","",YEAR(A94))</f>
        <v/>
      </c>
      <c r="M94" s="45" t="str">
        <f aca="false">IF(A94="","",COUNTIFS(MOVIMIENTOS!$B$4:$B$20000,A94,MOVIMIENTOS!$H$4:$H$20000,"Por revisar"))</f>
        <v/>
      </c>
      <c r="N94" s="45" t="str">
        <f aca="true">IF(A94="","",IF(A94&lt;DATE(YEAR(TODAY()),MONTH(TODAY()),1),1,0))</f>
        <v/>
      </c>
    </row>
    <row r="95" customFormat="false" ht="15" hidden="false" customHeight="false" outlineLevel="0" collapsed="false">
      <c r="G95" s="43" t="str">
        <f aca="false">IF(A95="","",SUMIFS(MOVIMIENTOS!$E$4:$E$20000,MOVIMIENTOS!$B$4:$B$20000,A95,MOVIMIENTOS!$H$4:$H$20000,"Ingreso")+SUMIFS(FLEXIBLE!$D$4:$D$200,FLEXIBLE!$F$4:$F$200,A95))</f>
        <v/>
      </c>
      <c r="H95" s="43" t="str">
        <f aca="false">IF(A95="","",-SUMIFS(MOVIMIENTOS!$E$4:$E$20000,MOVIMIENTOS!$B$4:$B$20000,A95,MOVIMIENTOS!$H$4:$H$20000,"Gasto")+SUMIFS(FLEXIBLE!$D$4:$D$200,FLEXIBLE!$F$4:$F$200,A95))</f>
        <v/>
      </c>
      <c r="I95" s="43" t="str">
        <f aca="false">IF(A95="","",G95-H95)</f>
        <v/>
      </c>
      <c r="J95" s="44" t="str">
        <f aca="false">IF(A95="","",IF(N95=0,"en curso",IF(N(G95)=0,"",I95/G95)))</f>
        <v/>
      </c>
      <c r="K95" s="43" t="str">
        <f aca="false">IF(A95="","",SUM(B95:F95))</f>
        <v/>
      </c>
      <c r="L95" s="45" t="str">
        <f aca="false">IF(A95="","",YEAR(A95))</f>
        <v/>
      </c>
      <c r="M95" s="45" t="str">
        <f aca="false">IF(A95="","",COUNTIFS(MOVIMIENTOS!$B$4:$B$20000,A95,MOVIMIENTOS!$H$4:$H$20000,"Por revisar"))</f>
        <v/>
      </c>
      <c r="N95" s="45" t="str">
        <f aca="true">IF(A95="","",IF(A95&lt;DATE(YEAR(TODAY()),MONTH(TODAY()),1),1,0))</f>
        <v/>
      </c>
    </row>
    <row r="96" customFormat="false" ht="15" hidden="false" customHeight="false" outlineLevel="0" collapsed="false">
      <c r="G96" s="43" t="str">
        <f aca="false">IF(A96="","",SUMIFS(MOVIMIENTOS!$E$4:$E$20000,MOVIMIENTOS!$B$4:$B$20000,A96,MOVIMIENTOS!$H$4:$H$20000,"Ingreso")+SUMIFS(FLEXIBLE!$D$4:$D$200,FLEXIBLE!$F$4:$F$200,A96))</f>
        <v/>
      </c>
      <c r="H96" s="43" t="str">
        <f aca="false">IF(A96="","",-SUMIFS(MOVIMIENTOS!$E$4:$E$20000,MOVIMIENTOS!$B$4:$B$20000,A96,MOVIMIENTOS!$H$4:$H$20000,"Gasto")+SUMIFS(FLEXIBLE!$D$4:$D$200,FLEXIBLE!$F$4:$F$200,A96))</f>
        <v/>
      </c>
      <c r="I96" s="43" t="str">
        <f aca="false">IF(A96="","",G96-H96)</f>
        <v/>
      </c>
      <c r="J96" s="44" t="str">
        <f aca="false">IF(A96="","",IF(N96=0,"en curso",IF(N(G96)=0,"",I96/G96)))</f>
        <v/>
      </c>
      <c r="K96" s="43" t="str">
        <f aca="false">IF(A96="","",SUM(B96:F96))</f>
        <v/>
      </c>
      <c r="L96" s="45" t="str">
        <f aca="false">IF(A96="","",YEAR(A96))</f>
        <v/>
      </c>
      <c r="M96" s="45" t="str">
        <f aca="false">IF(A96="","",COUNTIFS(MOVIMIENTOS!$B$4:$B$20000,A96,MOVIMIENTOS!$H$4:$H$20000,"Por revisar"))</f>
        <v/>
      </c>
      <c r="N96" s="45" t="str">
        <f aca="true">IF(A96="","",IF(A96&lt;DATE(YEAR(TODAY()),MONTH(TODAY()),1),1,0))</f>
        <v/>
      </c>
    </row>
    <row r="97" customFormat="false" ht="15" hidden="false" customHeight="false" outlineLevel="0" collapsed="false">
      <c r="G97" s="43" t="str">
        <f aca="false">IF(A97="","",SUMIFS(MOVIMIENTOS!$E$4:$E$20000,MOVIMIENTOS!$B$4:$B$20000,A97,MOVIMIENTOS!$H$4:$H$20000,"Ingreso")+SUMIFS(FLEXIBLE!$D$4:$D$200,FLEXIBLE!$F$4:$F$200,A97))</f>
        <v/>
      </c>
      <c r="H97" s="43" t="str">
        <f aca="false">IF(A97="","",-SUMIFS(MOVIMIENTOS!$E$4:$E$20000,MOVIMIENTOS!$B$4:$B$20000,A97,MOVIMIENTOS!$H$4:$H$20000,"Gasto")+SUMIFS(FLEXIBLE!$D$4:$D$200,FLEXIBLE!$F$4:$F$200,A97))</f>
        <v/>
      </c>
      <c r="I97" s="43" t="str">
        <f aca="false">IF(A97="","",G97-H97)</f>
        <v/>
      </c>
      <c r="J97" s="44" t="str">
        <f aca="false">IF(A97="","",IF(N97=0,"en curso",IF(N(G97)=0,"",I97/G97)))</f>
        <v/>
      </c>
      <c r="K97" s="43" t="str">
        <f aca="false">IF(A97="","",SUM(B97:F97))</f>
        <v/>
      </c>
      <c r="L97" s="45" t="str">
        <f aca="false">IF(A97="","",YEAR(A97))</f>
        <v/>
      </c>
      <c r="M97" s="45" t="str">
        <f aca="false">IF(A97="","",COUNTIFS(MOVIMIENTOS!$B$4:$B$20000,A97,MOVIMIENTOS!$H$4:$H$20000,"Por revisar"))</f>
        <v/>
      </c>
      <c r="N97" s="45" t="str">
        <f aca="true">IF(A97="","",IF(A97&lt;DATE(YEAR(TODAY()),MONTH(TODAY()),1),1,0))</f>
        <v/>
      </c>
    </row>
    <row r="98" customFormat="false" ht="15" hidden="false" customHeight="false" outlineLevel="0" collapsed="false">
      <c r="G98" s="43" t="str">
        <f aca="false">IF(A98="","",SUMIFS(MOVIMIENTOS!$E$4:$E$20000,MOVIMIENTOS!$B$4:$B$20000,A98,MOVIMIENTOS!$H$4:$H$20000,"Ingreso")+SUMIFS(FLEXIBLE!$D$4:$D$200,FLEXIBLE!$F$4:$F$200,A98))</f>
        <v/>
      </c>
      <c r="H98" s="43" t="str">
        <f aca="false">IF(A98="","",-SUMIFS(MOVIMIENTOS!$E$4:$E$20000,MOVIMIENTOS!$B$4:$B$20000,A98,MOVIMIENTOS!$H$4:$H$20000,"Gasto")+SUMIFS(FLEXIBLE!$D$4:$D$200,FLEXIBLE!$F$4:$F$200,A98))</f>
        <v/>
      </c>
      <c r="I98" s="43" t="str">
        <f aca="false">IF(A98="","",G98-H98)</f>
        <v/>
      </c>
      <c r="J98" s="44" t="str">
        <f aca="false">IF(A98="","",IF(N98=0,"en curso",IF(N(G98)=0,"",I98/G98)))</f>
        <v/>
      </c>
      <c r="K98" s="43" t="str">
        <f aca="false">IF(A98="","",SUM(B98:F98))</f>
        <v/>
      </c>
      <c r="L98" s="45" t="str">
        <f aca="false">IF(A98="","",YEAR(A98))</f>
        <v/>
      </c>
      <c r="M98" s="45" t="str">
        <f aca="false">IF(A98="","",COUNTIFS(MOVIMIENTOS!$B$4:$B$20000,A98,MOVIMIENTOS!$H$4:$H$20000,"Por revisar"))</f>
        <v/>
      </c>
      <c r="N98" s="45" t="str">
        <f aca="true">IF(A98="","",IF(A98&lt;DATE(YEAR(TODAY()),MONTH(TODAY()),1),1,0))</f>
        <v/>
      </c>
    </row>
    <row r="99" customFormat="false" ht="15" hidden="false" customHeight="false" outlineLevel="0" collapsed="false">
      <c r="G99" s="43" t="str">
        <f aca="false">IF(A99="","",SUMIFS(MOVIMIENTOS!$E$4:$E$20000,MOVIMIENTOS!$B$4:$B$20000,A99,MOVIMIENTOS!$H$4:$H$20000,"Ingreso")+SUMIFS(FLEXIBLE!$D$4:$D$200,FLEXIBLE!$F$4:$F$200,A99))</f>
        <v/>
      </c>
      <c r="H99" s="43" t="str">
        <f aca="false">IF(A99="","",-SUMIFS(MOVIMIENTOS!$E$4:$E$20000,MOVIMIENTOS!$B$4:$B$20000,A99,MOVIMIENTOS!$H$4:$H$20000,"Gasto")+SUMIFS(FLEXIBLE!$D$4:$D$200,FLEXIBLE!$F$4:$F$200,A99))</f>
        <v/>
      </c>
      <c r="I99" s="43" t="str">
        <f aca="false">IF(A99="","",G99-H99)</f>
        <v/>
      </c>
      <c r="J99" s="44" t="str">
        <f aca="false">IF(A99="","",IF(N99=0,"en curso",IF(N(G99)=0,"",I99/G99)))</f>
        <v/>
      </c>
      <c r="K99" s="43" t="str">
        <f aca="false">IF(A99="","",SUM(B99:F99))</f>
        <v/>
      </c>
      <c r="L99" s="45" t="str">
        <f aca="false">IF(A99="","",YEAR(A99))</f>
        <v/>
      </c>
      <c r="M99" s="45" t="str">
        <f aca="false">IF(A99="","",COUNTIFS(MOVIMIENTOS!$B$4:$B$20000,A99,MOVIMIENTOS!$H$4:$H$20000,"Por revisar"))</f>
        <v/>
      </c>
      <c r="N99" s="45" t="str">
        <f aca="true">IF(A99="","",IF(A99&lt;DATE(YEAR(TODAY()),MONTH(TODAY()),1),1,0))</f>
        <v/>
      </c>
    </row>
    <row r="100" customFormat="false" ht="15" hidden="false" customHeight="false" outlineLevel="0" collapsed="false">
      <c r="G100" s="43" t="str">
        <f aca="false">IF(A100="","",SUMIFS(MOVIMIENTOS!$E$4:$E$20000,MOVIMIENTOS!$B$4:$B$20000,A100,MOVIMIENTOS!$H$4:$H$20000,"Ingreso")+SUMIFS(FLEXIBLE!$D$4:$D$200,FLEXIBLE!$F$4:$F$200,A100))</f>
        <v/>
      </c>
      <c r="H100" s="43" t="str">
        <f aca="false">IF(A100="","",-SUMIFS(MOVIMIENTOS!$E$4:$E$20000,MOVIMIENTOS!$B$4:$B$20000,A100,MOVIMIENTOS!$H$4:$H$20000,"Gasto")+SUMIFS(FLEXIBLE!$D$4:$D$200,FLEXIBLE!$F$4:$F$200,A100))</f>
        <v/>
      </c>
      <c r="I100" s="43" t="str">
        <f aca="false">IF(A100="","",G100-H100)</f>
        <v/>
      </c>
      <c r="J100" s="44" t="str">
        <f aca="false">IF(A100="","",IF(N100=0,"en curso",IF(N(G100)=0,"",I100/G100)))</f>
        <v/>
      </c>
      <c r="K100" s="43" t="str">
        <f aca="false">IF(A100="","",SUM(B100:F100))</f>
        <v/>
      </c>
      <c r="L100" s="45" t="str">
        <f aca="false">IF(A100="","",YEAR(A100))</f>
        <v/>
      </c>
      <c r="M100" s="45" t="str">
        <f aca="false">IF(A100="","",COUNTIFS(MOVIMIENTOS!$B$4:$B$20000,A100,MOVIMIENTOS!$H$4:$H$20000,"Por revisar"))</f>
        <v/>
      </c>
      <c r="N100" s="45" t="str">
        <f aca="true">IF(A100="","",IF(A100&lt;DATE(YEAR(TODAY()),MONTH(TODAY()),1),1,0))</f>
        <v/>
      </c>
    </row>
    <row r="101" customFormat="false" ht="15" hidden="false" customHeight="false" outlineLevel="0" collapsed="false">
      <c r="G101" s="43" t="str">
        <f aca="false">IF(A101="","",SUMIFS(MOVIMIENTOS!$E$4:$E$20000,MOVIMIENTOS!$B$4:$B$20000,A101,MOVIMIENTOS!$H$4:$H$20000,"Ingreso")+SUMIFS(FLEXIBLE!$D$4:$D$200,FLEXIBLE!$F$4:$F$200,A101))</f>
        <v/>
      </c>
      <c r="H101" s="43" t="str">
        <f aca="false">IF(A101="","",-SUMIFS(MOVIMIENTOS!$E$4:$E$20000,MOVIMIENTOS!$B$4:$B$20000,A101,MOVIMIENTOS!$H$4:$H$20000,"Gasto")+SUMIFS(FLEXIBLE!$D$4:$D$200,FLEXIBLE!$F$4:$F$200,A101))</f>
        <v/>
      </c>
      <c r="I101" s="43" t="str">
        <f aca="false">IF(A101="","",G101-H101)</f>
        <v/>
      </c>
      <c r="J101" s="44" t="str">
        <f aca="false">IF(A101="","",IF(N101=0,"en curso",IF(N(G101)=0,"",I101/G101)))</f>
        <v/>
      </c>
      <c r="K101" s="43" t="str">
        <f aca="false">IF(A101="","",SUM(B101:F101))</f>
        <v/>
      </c>
      <c r="L101" s="45" t="str">
        <f aca="false">IF(A101="","",YEAR(A101))</f>
        <v/>
      </c>
      <c r="M101" s="45" t="str">
        <f aca="false">IF(A101="","",COUNTIFS(MOVIMIENTOS!$B$4:$B$20000,A101,MOVIMIENTOS!$H$4:$H$20000,"Por revisar"))</f>
        <v/>
      </c>
      <c r="N101" s="45" t="str">
        <f aca="true">IF(A101="","",IF(A101&lt;DATE(YEAR(TODAY()),MONTH(TODAY()),1),1,0))</f>
        <v/>
      </c>
    </row>
    <row r="102" customFormat="false" ht="15" hidden="false" customHeight="false" outlineLevel="0" collapsed="false">
      <c r="G102" s="43" t="str">
        <f aca="false">IF(A102="","",SUMIFS(MOVIMIENTOS!$E$4:$E$20000,MOVIMIENTOS!$B$4:$B$20000,A102,MOVIMIENTOS!$H$4:$H$20000,"Ingreso")+SUMIFS(FLEXIBLE!$D$4:$D$200,FLEXIBLE!$F$4:$F$200,A102))</f>
        <v/>
      </c>
      <c r="H102" s="43" t="str">
        <f aca="false">IF(A102="","",-SUMIFS(MOVIMIENTOS!$E$4:$E$20000,MOVIMIENTOS!$B$4:$B$20000,A102,MOVIMIENTOS!$H$4:$H$20000,"Gasto")+SUMIFS(FLEXIBLE!$D$4:$D$200,FLEXIBLE!$F$4:$F$200,A102))</f>
        <v/>
      </c>
      <c r="I102" s="43" t="str">
        <f aca="false">IF(A102="","",G102-H102)</f>
        <v/>
      </c>
      <c r="J102" s="44" t="str">
        <f aca="false">IF(A102="","",IF(N102=0,"en curso",IF(N(G102)=0,"",I102/G102)))</f>
        <v/>
      </c>
      <c r="K102" s="43" t="str">
        <f aca="false">IF(A102="","",SUM(B102:F102))</f>
        <v/>
      </c>
      <c r="L102" s="45" t="str">
        <f aca="false">IF(A102="","",YEAR(A102))</f>
        <v/>
      </c>
      <c r="M102" s="45" t="str">
        <f aca="false">IF(A102="","",COUNTIFS(MOVIMIENTOS!$B$4:$B$20000,A102,MOVIMIENTOS!$H$4:$H$20000,"Por revisar"))</f>
        <v/>
      </c>
      <c r="N102" s="45" t="str">
        <f aca="true">IF(A102="","",IF(A102&lt;DATE(YEAR(TODAY()),MONTH(TODAY()),1),1,0))</f>
        <v/>
      </c>
    </row>
    <row r="103" customFormat="false" ht="15" hidden="false" customHeight="false" outlineLevel="0" collapsed="false">
      <c r="G103" s="43" t="str">
        <f aca="false">IF(A103="","",SUMIFS(MOVIMIENTOS!$E$4:$E$20000,MOVIMIENTOS!$B$4:$B$20000,A103,MOVIMIENTOS!$H$4:$H$20000,"Ingreso")+SUMIFS(FLEXIBLE!$D$4:$D$200,FLEXIBLE!$F$4:$F$200,A103))</f>
        <v/>
      </c>
      <c r="H103" s="43" t="str">
        <f aca="false">IF(A103="","",-SUMIFS(MOVIMIENTOS!$E$4:$E$20000,MOVIMIENTOS!$B$4:$B$20000,A103,MOVIMIENTOS!$H$4:$H$20000,"Gasto")+SUMIFS(FLEXIBLE!$D$4:$D$200,FLEXIBLE!$F$4:$F$200,A103))</f>
        <v/>
      </c>
      <c r="I103" s="43" t="str">
        <f aca="false">IF(A103="","",G103-H103)</f>
        <v/>
      </c>
      <c r="J103" s="44" t="str">
        <f aca="false">IF(A103="","",IF(N103=0,"en curso",IF(N(G103)=0,"",I103/G103)))</f>
        <v/>
      </c>
      <c r="K103" s="43" t="str">
        <f aca="false">IF(A103="","",SUM(B103:F103))</f>
        <v/>
      </c>
      <c r="L103" s="45" t="str">
        <f aca="false">IF(A103="","",YEAR(A103))</f>
        <v/>
      </c>
      <c r="M103" s="45" t="str">
        <f aca="false">IF(A103="","",COUNTIFS(MOVIMIENTOS!$B$4:$B$20000,A103,MOVIMIENTOS!$H$4:$H$20000,"Por revisar"))</f>
        <v/>
      </c>
      <c r="N103" s="45" t="str">
        <f aca="true">IF(A103="","",IF(A103&lt;DATE(YEAR(TODAY()),MONTH(TODAY()),1),1,0))</f>
        <v/>
      </c>
    </row>
    <row r="104" customFormat="false" ht="15" hidden="false" customHeight="false" outlineLevel="0" collapsed="false">
      <c r="G104" s="43" t="str">
        <f aca="false">IF(A104="","",SUMIFS(MOVIMIENTOS!$E$4:$E$20000,MOVIMIENTOS!$B$4:$B$20000,A104,MOVIMIENTOS!$H$4:$H$20000,"Ingreso")+SUMIFS(FLEXIBLE!$D$4:$D$200,FLEXIBLE!$F$4:$F$200,A104))</f>
        <v/>
      </c>
      <c r="H104" s="43" t="str">
        <f aca="false">IF(A104="","",-SUMIFS(MOVIMIENTOS!$E$4:$E$20000,MOVIMIENTOS!$B$4:$B$20000,A104,MOVIMIENTOS!$H$4:$H$20000,"Gasto")+SUMIFS(FLEXIBLE!$D$4:$D$200,FLEXIBLE!$F$4:$F$200,A104))</f>
        <v/>
      </c>
      <c r="I104" s="43" t="str">
        <f aca="false">IF(A104="","",G104-H104)</f>
        <v/>
      </c>
      <c r="J104" s="44" t="str">
        <f aca="false">IF(A104="","",IF(N104=0,"en curso",IF(N(G104)=0,"",I104/G104)))</f>
        <v/>
      </c>
      <c r="K104" s="43" t="str">
        <f aca="false">IF(A104="","",SUM(B104:F104))</f>
        <v/>
      </c>
      <c r="L104" s="45" t="str">
        <f aca="false">IF(A104="","",YEAR(A104))</f>
        <v/>
      </c>
      <c r="M104" s="45" t="str">
        <f aca="false">IF(A104="","",COUNTIFS(MOVIMIENTOS!$B$4:$B$20000,A104,MOVIMIENTOS!$H$4:$H$20000,"Por revisar"))</f>
        <v/>
      </c>
      <c r="N104" s="45" t="str">
        <f aca="true">IF(A104="","",IF(A104&lt;DATE(YEAR(TODAY()),MONTH(TODAY()),1),1,0))</f>
        <v/>
      </c>
    </row>
    <row r="105" customFormat="false" ht="15" hidden="false" customHeight="false" outlineLevel="0" collapsed="false">
      <c r="G105" s="43" t="str">
        <f aca="false">IF(A105="","",SUMIFS(MOVIMIENTOS!$E$4:$E$20000,MOVIMIENTOS!$B$4:$B$20000,A105,MOVIMIENTOS!$H$4:$H$20000,"Ingreso")+SUMIFS(FLEXIBLE!$D$4:$D$200,FLEXIBLE!$F$4:$F$200,A105))</f>
        <v/>
      </c>
      <c r="H105" s="43" t="str">
        <f aca="false">IF(A105="","",-SUMIFS(MOVIMIENTOS!$E$4:$E$20000,MOVIMIENTOS!$B$4:$B$20000,A105,MOVIMIENTOS!$H$4:$H$20000,"Gasto")+SUMIFS(FLEXIBLE!$D$4:$D$200,FLEXIBLE!$F$4:$F$200,A105))</f>
        <v/>
      </c>
      <c r="I105" s="43" t="str">
        <f aca="false">IF(A105="","",G105-H105)</f>
        <v/>
      </c>
      <c r="J105" s="44" t="str">
        <f aca="false">IF(A105="","",IF(N105=0,"en curso",IF(N(G105)=0,"",I105/G105)))</f>
        <v/>
      </c>
      <c r="K105" s="43" t="str">
        <f aca="false">IF(A105="","",SUM(B105:F105))</f>
        <v/>
      </c>
      <c r="L105" s="45" t="str">
        <f aca="false">IF(A105="","",YEAR(A105))</f>
        <v/>
      </c>
      <c r="M105" s="45" t="str">
        <f aca="false">IF(A105="","",COUNTIFS(MOVIMIENTOS!$B$4:$B$20000,A105,MOVIMIENTOS!$H$4:$H$20000,"Por revisar"))</f>
        <v/>
      </c>
      <c r="N105" s="45" t="str">
        <f aca="true">IF(A105="","",IF(A105&lt;DATE(YEAR(TODAY()),MONTH(TODAY()),1),1,0))</f>
        <v/>
      </c>
    </row>
    <row r="106" customFormat="false" ht="15" hidden="false" customHeight="false" outlineLevel="0" collapsed="false">
      <c r="G106" s="43" t="str">
        <f aca="false">IF(A106="","",SUMIFS(MOVIMIENTOS!$E$4:$E$20000,MOVIMIENTOS!$B$4:$B$20000,A106,MOVIMIENTOS!$H$4:$H$20000,"Ingreso")+SUMIFS(FLEXIBLE!$D$4:$D$200,FLEXIBLE!$F$4:$F$200,A106))</f>
        <v/>
      </c>
      <c r="H106" s="43" t="str">
        <f aca="false">IF(A106="","",-SUMIFS(MOVIMIENTOS!$E$4:$E$20000,MOVIMIENTOS!$B$4:$B$20000,A106,MOVIMIENTOS!$H$4:$H$20000,"Gasto")+SUMIFS(FLEXIBLE!$D$4:$D$200,FLEXIBLE!$F$4:$F$200,A106))</f>
        <v/>
      </c>
      <c r="I106" s="43" t="str">
        <f aca="false">IF(A106="","",G106-H106)</f>
        <v/>
      </c>
      <c r="J106" s="44" t="str">
        <f aca="false">IF(A106="","",IF(N106=0,"en curso",IF(N(G106)=0,"",I106/G106)))</f>
        <v/>
      </c>
      <c r="K106" s="43" t="str">
        <f aca="false">IF(A106="","",SUM(B106:F106))</f>
        <v/>
      </c>
      <c r="L106" s="45" t="str">
        <f aca="false">IF(A106="","",YEAR(A106))</f>
        <v/>
      </c>
      <c r="M106" s="45" t="str">
        <f aca="false">IF(A106="","",COUNTIFS(MOVIMIENTOS!$B$4:$B$20000,A106,MOVIMIENTOS!$H$4:$H$20000,"Por revisar"))</f>
        <v/>
      </c>
      <c r="N106" s="45" t="str">
        <f aca="true">IF(A106="","",IF(A106&lt;DATE(YEAR(TODAY()),MONTH(TODAY()),1),1,0))</f>
        <v/>
      </c>
    </row>
    <row r="107" customFormat="false" ht="15" hidden="false" customHeight="false" outlineLevel="0" collapsed="false">
      <c r="G107" s="43" t="str">
        <f aca="false">IF(A107="","",SUMIFS(MOVIMIENTOS!$E$4:$E$20000,MOVIMIENTOS!$B$4:$B$20000,A107,MOVIMIENTOS!$H$4:$H$20000,"Ingreso")+SUMIFS(FLEXIBLE!$D$4:$D$200,FLEXIBLE!$F$4:$F$200,A107))</f>
        <v/>
      </c>
      <c r="H107" s="43" t="str">
        <f aca="false">IF(A107="","",-SUMIFS(MOVIMIENTOS!$E$4:$E$20000,MOVIMIENTOS!$B$4:$B$20000,A107,MOVIMIENTOS!$H$4:$H$20000,"Gasto")+SUMIFS(FLEXIBLE!$D$4:$D$200,FLEXIBLE!$F$4:$F$200,A107))</f>
        <v/>
      </c>
      <c r="I107" s="43" t="str">
        <f aca="false">IF(A107="","",G107-H107)</f>
        <v/>
      </c>
      <c r="J107" s="44" t="str">
        <f aca="false">IF(A107="","",IF(N107=0,"en curso",IF(N(G107)=0,"",I107/G107)))</f>
        <v/>
      </c>
      <c r="K107" s="43" t="str">
        <f aca="false">IF(A107="","",SUM(B107:F107))</f>
        <v/>
      </c>
      <c r="L107" s="45" t="str">
        <f aca="false">IF(A107="","",YEAR(A107))</f>
        <v/>
      </c>
      <c r="M107" s="45" t="str">
        <f aca="false">IF(A107="","",COUNTIFS(MOVIMIENTOS!$B$4:$B$20000,A107,MOVIMIENTOS!$H$4:$H$20000,"Por revisar"))</f>
        <v/>
      </c>
      <c r="N107" s="45" t="str">
        <f aca="true">IF(A107="","",IF(A107&lt;DATE(YEAR(TODAY()),MONTH(TODAY()),1),1,0))</f>
        <v/>
      </c>
    </row>
    <row r="108" customFormat="false" ht="15" hidden="false" customHeight="false" outlineLevel="0" collapsed="false">
      <c r="G108" s="43" t="str">
        <f aca="false">IF(A108="","",SUMIFS(MOVIMIENTOS!$E$4:$E$20000,MOVIMIENTOS!$B$4:$B$20000,A108,MOVIMIENTOS!$H$4:$H$20000,"Ingreso")+SUMIFS(FLEXIBLE!$D$4:$D$200,FLEXIBLE!$F$4:$F$200,A108))</f>
        <v/>
      </c>
      <c r="H108" s="43" t="str">
        <f aca="false">IF(A108="","",-SUMIFS(MOVIMIENTOS!$E$4:$E$20000,MOVIMIENTOS!$B$4:$B$20000,A108,MOVIMIENTOS!$H$4:$H$20000,"Gasto")+SUMIFS(FLEXIBLE!$D$4:$D$200,FLEXIBLE!$F$4:$F$200,A108))</f>
        <v/>
      </c>
      <c r="I108" s="43" t="str">
        <f aca="false">IF(A108="","",G108-H108)</f>
        <v/>
      </c>
      <c r="J108" s="44" t="str">
        <f aca="false">IF(A108="","",IF(N108=0,"en curso",IF(N(G108)=0,"",I108/G108)))</f>
        <v/>
      </c>
      <c r="K108" s="43" t="str">
        <f aca="false">IF(A108="","",SUM(B108:F108))</f>
        <v/>
      </c>
      <c r="L108" s="45" t="str">
        <f aca="false">IF(A108="","",YEAR(A108))</f>
        <v/>
      </c>
      <c r="M108" s="45" t="str">
        <f aca="false">IF(A108="","",COUNTIFS(MOVIMIENTOS!$B$4:$B$20000,A108,MOVIMIENTOS!$H$4:$H$20000,"Por revisar"))</f>
        <v/>
      </c>
      <c r="N108" s="45" t="str">
        <f aca="true">IF(A108="","",IF(A108&lt;DATE(YEAR(TODAY()),MONTH(TODAY()),1),1,0))</f>
        <v/>
      </c>
    </row>
    <row r="109" customFormat="false" ht="15" hidden="false" customHeight="false" outlineLevel="0" collapsed="false">
      <c r="G109" s="43" t="str">
        <f aca="false">IF(A109="","",SUMIFS(MOVIMIENTOS!$E$4:$E$20000,MOVIMIENTOS!$B$4:$B$20000,A109,MOVIMIENTOS!$H$4:$H$20000,"Ingreso")+SUMIFS(FLEXIBLE!$D$4:$D$200,FLEXIBLE!$F$4:$F$200,A109))</f>
        <v/>
      </c>
      <c r="H109" s="43" t="str">
        <f aca="false">IF(A109="","",-SUMIFS(MOVIMIENTOS!$E$4:$E$20000,MOVIMIENTOS!$B$4:$B$20000,A109,MOVIMIENTOS!$H$4:$H$20000,"Gasto")+SUMIFS(FLEXIBLE!$D$4:$D$200,FLEXIBLE!$F$4:$F$200,A109))</f>
        <v/>
      </c>
      <c r="I109" s="43" t="str">
        <f aca="false">IF(A109="","",G109-H109)</f>
        <v/>
      </c>
      <c r="J109" s="44" t="str">
        <f aca="false">IF(A109="","",IF(N109=0,"en curso",IF(N(G109)=0,"",I109/G109)))</f>
        <v/>
      </c>
      <c r="K109" s="43" t="str">
        <f aca="false">IF(A109="","",SUM(B109:F109))</f>
        <v/>
      </c>
      <c r="L109" s="45" t="str">
        <f aca="false">IF(A109="","",YEAR(A109))</f>
        <v/>
      </c>
      <c r="M109" s="45" t="str">
        <f aca="false">IF(A109="","",COUNTIFS(MOVIMIENTOS!$B$4:$B$20000,A109,MOVIMIENTOS!$H$4:$H$20000,"Por revisar"))</f>
        <v/>
      </c>
      <c r="N109" s="45" t="str">
        <f aca="true">IF(A109="","",IF(A109&lt;DATE(YEAR(TODAY()),MONTH(TODAY()),1),1,0))</f>
        <v/>
      </c>
    </row>
    <row r="110" customFormat="false" ht="15" hidden="false" customHeight="false" outlineLevel="0" collapsed="false">
      <c r="G110" s="43" t="str">
        <f aca="false">IF(A110="","",SUMIFS(MOVIMIENTOS!$E$4:$E$20000,MOVIMIENTOS!$B$4:$B$20000,A110,MOVIMIENTOS!$H$4:$H$20000,"Ingreso")+SUMIFS(FLEXIBLE!$D$4:$D$200,FLEXIBLE!$F$4:$F$200,A110))</f>
        <v/>
      </c>
      <c r="H110" s="43" t="str">
        <f aca="false">IF(A110="","",-SUMIFS(MOVIMIENTOS!$E$4:$E$20000,MOVIMIENTOS!$B$4:$B$20000,A110,MOVIMIENTOS!$H$4:$H$20000,"Gasto")+SUMIFS(FLEXIBLE!$D$4:$D$200,FLEXIBLE!$F$4:$F$200,A110))</f>
        <v/>
      </c>
      <c r="I110" s="43" t="str">
        <f aca="false">IF(A110="","",G110-H110)</f>
        <v/>
      </c>
      <c r="J110" s="44" t="str">
        <f aca="false">IF(A110="","",IF(N110=0,"en curso",IF(N(G110)=0,"",I110/G110)))</f>
        <v/>
      </c>
      <c r="K110" s="43" t="str">
        <f aca="false">IF(A110="","",SUM(B110:F110))</f>
        <v/>
      </c>
      <c r="L110" s="45" t="str">
        <f aca="false">IF(A110="","",YEAR(A110))</f>
        <v/>
      </c>
      <c r="M110" s="45" t="str">
        <f aca="false">IF(A110="","",COUNTIFS(MOVIMIENTOS!$B$4:$B$20000,A110,MOVIMIENTOS!$H$4:$H$20000,"Por revisar"))</f>
        <v/>
      </c>
      <c r="N110" s="45" t="str">
        <f aca="true">IF(A110="","",IF(A110&lt;DATE(YEAR(TODAY()),MONTH(TODAY()),1),1,0))</f>
        <v/>
      </c>
    </row>
    <row r="111" customFormat="false" ht="15" hidden="false" customHeight="false" outlineLevel="0" collapsed="false">
      <c r="G111" s="43" t="str">
        <f aca="false">IF(A111="","",SUMIFS(MOVIMIENTOS!$E$4:$E$20000,MOVIMIENTOS!$B$4:$B$20000,A111,MOVIMIENTOS!$H$4:$H$20000,"Ingreso")+SUMIFS(FLEXIBLE!$D$4:$D$200,FLEXIBLE!$F$4:$F$200,A111))</f>
        <v/>
      </c>
      <c r="H111" s="43" t="str">
        <f aca="false">IF(A111="","",-SUMIFS(MOVIMIENTOS!$E$4:$E$20000,MOVIMIENTOS!$B$4:$B$20000,A111,MOVIMIENTOS!$H$4:$H$20000,"Gasto")+SUMIFS(FLEXIBLE!$D$4:$D$200,FLEXIBLE!$F$4:$F$200,A111))</f>
        <v/>
      </c>
      <c r="I111" s="43" t="str">
        <f aca="false">IF(A111="","",G111-H111)</f>
        <v/>
      </c>
      <c r="J111" s="44" t="str">
        <f aca="false">IF(A111="","",IF(N111=0,"en curso",IF(N(G111)=0,"",I111/G111)))</f>
        <v/>
      </c>
      <c r="K111" s="43" t="str">
        <f aca="false">IF(A111="","",SUM(B111:F111))</f>
        <v/>
      </c>
      <c r="L111" s="45" t="str">
        <f aca="false">IF(A111="","",YEAR(A111))</f>
        <v/>
      </c>
      <c r="M111" s="45" t="str">
        <f aca="false">IF(A111="","",COUNTIFS(MOVIMIENTOS!$B$4:$B$20000,A111,MOVIMIENTOS!$H$4:$H$20000,"Por revisar"))</f>
        <v/>
      </c>
      <c r="N111" s="45" t="str">
        <f aca="true">IF(A111="","",IF(A111&lt;DATE(YEAR(TODAY()),MONTH(TODAY()),1),1,0))</f>
        <v/>
      </c>
    </row>
    <row r="112" customFormat="false" ht="15" hidden="false" customHeight="false" outlineLevel="0" collapsed="false">
      <c r="G112" s="43" t="str">
        <f aca="false">IF(A112="","",SUMIFS(MOVIMIENTOS!$E$4:$E$20000,MOVIMIENTOS!$B$4:$B$20000,A112,MOVIMIENTOS!$H$4:$H$20000,"Ingreso")+SUMIFS(FLEXIBLE!$D$4:$D$200,FLEXIBLE!$F$4:$F$200,A112))</f>
        <v/>
      </c>
      <c r="H112" s="43" t="str">
        <f aca="false">IF(A112="","",-SUMIFS(MOVIMIENTOS!$E$4:$E$20000,MOVIMIENTOS!$B$4:$B$20000,A112,MOVIMIENTOS!$H$4:$H$20000,"Gasto")+SUMIFS(FLEXIBLE!$D$4:$D$200,FLEXIBLE!$F$4:$F$200,A112))</f>
        <v/>
      </c>
      <c r="I112" s="43" t="str">
        <f aca="false">IF(A112="","",G112-H112)</f>
        <v/>
      </c>
      <c r="J112" s="44" t="str">
        <f aca="false">IF(A112="","",IF(N112=0,"en curso",IF(N(G112)=0,"",I112/G112)))</f>
        <v/>
      </c>
      <c r="K112" s="43" t="str">
        <f aca="false">IF(A112="","",SUM(B112:F112))</f>
        <v/>
      </c>
      <c r="L112" s="45" t="str">
        <f aca="false">IF(A112="","",YEAR(A112))</f>
        <v/>
      </c>
      <c r="M112" s="45" t="str">
        <f aca="false">IF(A112="","",COUNTIFS(MOVIMIENTOS!$B$4:$B$20000,A112,MOVIMIENTOS!$H$4:$H$20000,"Por revisar"))</f>
        <v/>
      </c>
      <c r="N112" s="45" t="str">
        <f aca="true">IF(A112="","",IF(A112&lt;DATE(YEAR(TODAY()),MONTH(TODAY()),1),1,0))</f>
        <v/>
      </c>
    </row>
    <row r="113" customFormat="false" ht="15" hidden="false" customHeight="false" outlineLevel="0" collapsed="false">
      <c r="G113" s="43" t="str">
        <f aca="false">IF(A113="","",SUMIFS(MOVIMIENTOS!$E$4:$E$20000,MOVIMIENTOS!$B$4:$B$20000,A113,MOVIMIENTOS!$H$4:$H$20000,"Ingreso")+SUMIFS(FLEXIBLE!$D$4:$D$200,FLEXIBLE!$F$4:$F$200,A113))</f>
        <v/>
      </c>
      <c r="H113" s="43" t="str">
        <f aca="false">IF(A113="","",-SUMIFS(MOVIMIENTOS!$E$4:$E$20000,MOVIMIENTOS!$B$4:$B$20000,A113,MOVIMIENTOS!$H$4:$H$20000,"Gasto")+SUMIFS(FLEXIBLE!$D$4:$D$200,FLEXIBLE!$F$4:$F$200,A113))</f>
        <v/>
      </c>
      <c r="I113" s="43" t="str">
        <f aca="false">IF(A113="","",G113-H113)</f>
        <v/>
      </c>
      <c r="J113" s="44" t="str">
        <f aca="false">IF(A113="","",IF(N113=0,"en curso",IF(N(G113)=0,"",I113/G113)))</f>
        <v/>
      </c>
      <c r="K113" s="43" t="str">
        <f aca="false">IF(A113="","",SUM(B113:F113))</f>
        <v/>
      </c>
      <c r="L113" s="45" t="str">
        <f aca="false">IF(A113="","",YEAR(A113))</f>
        <v/>
      </c>
      <c r="M113" s="45" t="str">
        <f aca="false">IF(A113="","",COUNTIFS(MOVIMIENTOS!$B$4:$B$20000,A113,MOVIMIENTOS!$H$4:$H$20000,"Por revisar"))</f>
        <v/>
      </c>
      <c r="N113" s="45" t="str">
        <f aca="true">IF(A113="","",IF(A113&lt;DATE(YEAR(TODAY()),MONTH(TODAY()),1),1,0))</f>
        <v/>
      </c>
    </row>
    <row r="114" customFormat="false" ht="15" hidden="false" customHeight="false" outlineLevel="0" collapsed="false">
      <c r="G114" s="43" t="str">
        <f aca="false">IF(A114="","",SUMIFS(MOVIMIENTOS!$E$4:$E$20000,MOVIMIENTOS!$B$4:$B$20000,A114,MOVIMIENTOS!$H$4:$H$20000,"Ingreso")+SUMIFS(FLEXIBLE!$D$4:$D$200,FLEXIBLE!$F$4:$F$200,A114))</f>
        <v/>
      </c>
      <c r="H114" s="43" t="str">
        <f aca="false">IF(A114="","",-SUMIFS(MOVIMIENTOS!$E$4:$E$20000,MOVIMIENTOS!$B$4:$B$20000,A114,MOVIMIENTOS!$H$4:$H$20000,"Gasto")+SUMIFS(FLEXIBLE!$D$4:$D$200,FLEXIBLE!$F$4:$F$200,A114))</f>
        <v/>
      </c>
      <c r="I114" s="43" t="str">
        <f aca="false">IF(A114="","",G114-H114)</f>
        <v/>
      </c>
      <c r="J114" s="44" t="str">
        <f aca="false">IF(A114="","",IF(N114=0,"en curso",IF(N(G114)=0,"",I114/G114)))</f>
        <v/>
      </c>
      <c r="K114" s="43" t="str">
        <f aca="false">IF(A114="","",SUM(B114:F114))</f>
        <v/>
      </c>
      <c r="L114" s="45" t="str">
        <f aca="false">IF(A114="","",YEAR(A114))</f>
        <v/>
      </c>
      <c r="M114" s="45" t="str">
        <f aca="false">IF(A114="","",COUNTIFS(MOVIMIENTOS!$B$4:$B$20000,A114,MOVIMIENTOS!$H$4:$H$20000,"Por revisar"))</f>
        <v/>
      </c>
      <c r="N114" s="45" t="str">
        <f aca="true">IF(A114="","",IF(A114&lt;DATE(YEAR(TODAY()),MONTH(TODAY()),1),1,0))</f>
        <v/>
      </c>
    </row>
    <row r="115" customFormat="false" ht="15" hidden="false" customHeight="false" outlineLevel="0" collapsed="false">
      <c r="G115" s="43" t="str">
        <f aca="false">IF(A115="","",SUMIFS(MOVIMIENTOS!$E$4:$E$20000,MOVIMIENTOS!$B$4:$B$20000,A115,MOVIMIENTOS!$H$4:$H$20000,"Ingreso")+SUMIFS(FLEXIBLE!$D$4:$D$200,FLEXIBLE!$F$4:$F$200,A115))</f>
        <v/>
      </c>
      <c r="H115" s="43" t="str">
        <f aca="false">IF(A115="","",-SUMIFS(MOVIMIENTOS!$E$4:$E$20000,MOVIMIENTOS!$B$4:$B$20000,A115,MOVIMIENTOS!$H$4:$H$20000,"Gasto")+SUMIFS(FLEXIBLE!$D$4:$D$200,FLEXIBLE!$F$4:$F$200,A115))</f>
        <v/>
      </c>
      <c r="I115" s="43" t="str">
        <f aca="false">IF(A115="","",G115-H115)</f>
        <v/>
      </c>
      <c r="J115" s="44" t="str">
        <f aca="false">IF(A115="","",IF(N115=0,"en curso",IF(N(G115)=0,"",I115/G115)))</f>
        <v/>
      </c>
      <c r="K115" s="43" t="str">
        <f aca="false">IF(A115="","",SUM(B115:F115))</f>
        <v/>
      </c>
      <c r="L115" s="45" t="str">
        <f aca="false">IF(A115="","",YEAR(A115))</f>
        <v/>
      </c>
      <c r="M115" s="45" t="str">
        <f aca="false">IF(A115="","",COUNTIFS(MOVIMIENTOS!$B$4:$B$20000,A115,MOVIMIENTOS!$H$4:$H$20000,"Por revisar"))</f>
        <v/>
      </c>
      <c r="N115" s="45" t="str">
        <f aca="true">IF(A115="","",IF(A115&lt;DATE(YEAR(TODAY()),MONTH(TODAY()),1),1,0))</f>
        <v/>
      </c>
    </row>
    <row r="116" customFormat="false" ht="15" hidden="false" customHeight="false" outlineLevel="0" collapsed="false">
      <c r="G116" s="43" t="str">
        <f aca="false">IF(A116="","",SUMIFS(MOVIMIENTOS!$E$4:$E$20000,MOVIMIENTOS!$B$4:$B$20000,A116,MOVIMIENTOS!$H$4:$H$20000,"Ingreso")+SUMIFS(FLEXIBLE!$D$4:$D$200,FLEXIBLE!$F$4:$F$200,A116))</f>
        <v/>
      </c>
      <c r="H116" s="43" t="str">
        <f aca="false">IF(A116="","",-SUMIFS(MOVIMIENTOS!$E$4:$E$20000,MOVIMIENTOS!$B$4:$B$20000,A116,MOVIMIENTOS!$H$4:$H$20000,"Gasto")+SUMIFS(FLEXIBLE!$D$4:$D$200,FLEXIBLE!$F$4:$F$200,A116))</f>
        <v/>
      </c>
      <c r="I116" s="43" t="str">
        <f aca="false">IF(A116="","",G116-H116)</f>
        <v/>
      </c>
      <c r="J116" s="44" t="str">
        <f aca="false">IF(A116="","",IF(N116=0,"en curso",IF(N(G116)=0,"",I116/G116)))</f>
        <v/>
      </c>
      <c r="K116" s="43" t="str">
        <f aca="false">IF(A116="","",SUM(B116:F116))</f>
        <v/>
      </c>
      <c r="L116" s="45" t="str">
        <f aca="false">IF(A116="","",YEAR(A116))</f>
        <v/>
      </c>
      <c r="M116" s="45" t="str">
        <f aca="false">IF(A116="","",COUNTIFS(MOVIMIENTOS!$B$4:$B$20000,A116,MOVIMIENTOS!$H$4:$H$20000,"Por revisar"))</f>
        <v/>
      </c>
      <c r="N116" s="45" t="str">
        <f aca="true">IF(A116="","",IF(A116&lt;DATE(YEAR(TODAY()),MONTH(TODAY()),1),1,0))</f>
        <v/>
      </c>
    </row>
    <row r="117" customFormat="false" ht="15" hidden="false" customHeight="false" outlineLevel="0" collapsed="false">
      <c r="G117" s="43" t="str">
        <f aca="false">IF(A117="","",SUMIFS(MOVIMIENTOS!$E$4:$E$20000,MOVIMIENTOS!$B$4:$B$20000,A117,MOVIMIENTOS!$H$4:$H$20000,"Ingreso")+SUMIFS(FLEXIBLE!$D$4:$D$200,FLEXIBLE!$F$4:$F$200,A117))</f>
        <v/>
      </c>
      <c r="H117" s="43" t="str">
        <f aca="false">IF(A117="","",-SUMIFS(MOVIMIENTOS!$E$4:$E$20000,MOVIMIENTOS!$B$4:$B$20000,A117,MOVIMIENTOS!$H$4:$H$20000,"Gasto")+SUMIFS(FLEXIBLE!$D$4:$D$200,FLEXIBLE!$F$4:$F$200,A117))</f>
        <v/>
      </c>
      <c r="I117" s="43" t="str">
        <f aca="false">IF(A117="","",G117-H117)</f>
        <v/>
      </c>
      <c r="J117" s="44" t="str">
        <f aca="false">IF(A117="","",IF(N117=0,"en curso",IF(N(G117)=0,"",I117/G117)))</f>
        <v/>
      </c>
      <c r="K117" s="43" t="str">
        <f aca="false">IF(A117="","",SUM(B117:F117))</f>
        <v/>
      </c>
      <c r="L117" s="45" t="str">
        <f aca="false">IF(A117="","",YEAR(A117))</f>
        <v/>
      </c>
      <c r="M117" s="45" t="str">
        <f aca="false">IF(A117="","",COUNTIFS(MOVIMIENTOS!$B$4:$B$20000,A117,MOVIMIENTOS!$H$4:$H$20000,"Por revisar"))</f>
        <v/>
      </c>
      <c r="N117" s="45" t="str">
        <f aca="true">IF(A117="","",IF(A117&lt;DATE(YEAR(TODAY()),MONTH(TODAY()),1),1,0))</f>
        <v/>
      </c>
    </row>
    <row r="118" customFormat="false" ht="15" hidden="false" customHeight="false" outlineLevel="0" collapsed="false">
      <c r="G118" s="43" t="str">
        <f aca="false">IF(A118="","",SUMIFS(MOVIMIENTOS!$E$4:$E$20000,MOVIMIENTOS!$B$4:$B$20000,A118,MOVIMIENTOS!$H$4:$H$20000,"Ingreso")+SUMIFS(FLEXIBLE!$D$4:$D$200,FLEXIBLE!$F$4:$F$200,A118))</f>
        <v/>
      </c>
      <c r="H118" s="43" t="str">
        <f aca="false">IF(A118="","",-SUMIFS(MOVIMIENTOS!$E$4:$E$20000,MOVIMIENTOS!$B$4:$B$20000,A118,MOVIMIENTOS!$H$4:$H$20000,"Gasto")+SUMIFS(FLEXIBLE!$D$4:$D$200,FLEXIBLE!$F$4:$F$200,A118))</f>
        <v/>
      </c>
      <c r="I118" s="43" t="str">
        <f aca="false">IF(A118="","",G118-H118)</f>
        <v/>
      </c>
      <c r="J118" s="44" t="str">
        <f aca="false">IF(A118="","",IF(N118=0,"en curso",IF(N(G118)=0,"",I118/G118)))</f>
        <v/>
      </c>
      <c r="K118" s="43" t="str">
        <f aca="false">IF(A118="","",SUM(B118:F118))</f>
        <v/>
      </c>
      <c r="L118" s="45" t="str">
        <f aca="false">IF(A118="","",YEAR(A118))</f>
        <v/>
      </c>
      <c r="M118" s="45" t="str">
        <f aca="false">IF(A118="","",COUNTIFS(MOVIMIENTOS!$B$4:$B$20000,A118,MOVIMIENTOS!$H$4:$H$20000,"Por revisar"))</f>
        <v/>
      </c>
      <c r="N118" s="45" t="str">
        <f aca="true">IF(A118="","",IF(A118&lt;DATE(YEAR(TODAY()),MONTH(TODAY()),1),1,0))</f>
        <v/>
      </c>
    </row>
    <row r="119" customFormat="false" ht="15" hidden="false" customHeight="false" outlineLevel="0" collapsed="false">
      <c r="G119" s="43" t="str">
        <f aca="false">IF(A119="","",SUMIFS(MOVIMIENTOS!$E$4:$E$20000,MOVIMIENTOS!$B$4:$B$20000,A119,MOVIMIENTOS!$H$4:$H$20000,"Ingreso")+SUMIFS(FLEXIBLE!$D$4:$D$200,FLEXIBLE!$F$4:$F$200,A119))</f>
        <v/>
      </c>
      <c r="H119" s="43" t="str">
        <f aca="false">IF(A119="","",-SUMIFS(MOVIMIENTOS!$E$4:$E$20000,MOVIMIENTOS!$B$4:$B$20000,A119,MOVIMIENTOS!$H$4:$H$20000,"Gasto")+SUMIFS(FLEXIBLE!$D$4:$D$200,FLEXIBLE!$F$4:$F$200,A119))</f>
        <v/>
      </c>
      <c r="I119" s="43" t="str">
        <f aca="false">IF(A119="","",G119-H119)</f>
        <v/>
      </c>
      <c r="J119" s="44" t="str">
        <f aca="false">IF(A119="","",IF(N119=0,"en curso",IF(N(G119)=0,"",I119/G119)))</f>
        <v/>
      </c>
      <c r="K119" s="43" t="str">
        <f aca="false">IF(A119="","",SUM(B119:F119))</f>
        <v/>
      </c>
      <c r="L119" s="45" t="str">
        <f aca="false">IF(A119="","",YEAR(A119))</f>
        <v/>
      </c>
      <c r="M119" s="45" t="str">
        <f aca="false">IF(A119="","",COUNTIFS(MOVIMIENTOS!$B$4:$B$20000,A119,MOVIMIENTOS!$H$4:$H$20000,"Por revisar"))</f>
        <v/>
      </c>
      <c r="N119" s="45" t="str">
        <f aca="true">IF(A119="","",IF(A119&lt;DATE(YEAR(TODAY()),MONTH(TODAY()),1),1,0))</f>
        <v/>
      </c>
    </row>
    <row r="120" customFormat="false" ht="15" hidden="false" customHeight="false" outlineLevel="0" collapsed="false">
      <c r="G120" s="43" t="str">
        <f aca="false">IF(A120="","",SUMIFS(MOVIMIENTOS!$E$4:$E$20000,MOVIMIENTOS!$B$4:$B$20000,A120,MOVIMIENTOS!$H$4:$H$20000,"Ingreso")+SUMIFS(FLEXIBLE!$D$4:$D$200,FLEXIBLE!$F$4:$F$200,A120))</f>
        <v/>
      </c>
      <c r="H120" s="43" t="str">
        <f aca="false">IF(A120="","",-SUMIFS(MOVIMIENTOS!$E$4:$E$20000,MOVIMIENTOS!$B$4:$B$20000,A120,MOVIMIENTOS!$H$4:$H$20000,"Gasto")+SUMIFS(FLEXIBLE!$D$4:$D$200,FLEXIBLE!$F$4:$F$200,A120))</f>
        <v/>
      </c>
      <c r="I120" s="43" t="str">
        <f aca="false">IF(A120="","",G120-H120)</f>
        <v/>
      </c>
      <c r="J120" s="44" t="str">
        <f aca="false">IF(A120="","",IF(N120=0,"en curso",IF(N(G120)=0,"",I120/G120)))</f>
        <v/>
      </c>
      <c r="K120" s="43" t="str">
        <f aca="false">IF(A120="","",SUM(B120:F120))</f>
        <v/>
      </c>
      <c r="L120" s="45" t="str">
        <f aca="false">IF(A120="","",YEAR(A120))</f>
        <v/>
      </c>
      <c r="M120" s="45" t="str">
        <f aca="false">IF(A120="","",COUNTIFS(MOVIMIENTOS!$B$4:$B$20000,A120,MOVIMIENTOS!$H$4:$H$20000,"Por revisar"))</f>
        <v/>
      </c>
      <c r="N120" s="45" t="str">
        <f aca="true">IF(A120="","",IF(A120&lt;DATE(YEAR(TODAY()),MONTH(TODAY()),1),1,0))</f>
        <v/>
      </c>
    </row>
    <row r="121" customFormat="false" ht="15" hidden="false" customHeight="false" outlineLevel="0" collapsed="false">
      <c r="G121" s="43" t="str">
        <f aca="false">IF(A121="","",SUMIFS(MOVIMIENTOS!$E$4:$E$20000,MOVIMIENTOS!$B$4:$B$20000,A121,MOVIMIENTOS!$H$4:$H$20000,"Ingreso")+SUMIFS(FLEXIBLE!$D$4:$D$200,FLEXIBLE!$F$4:$F$200,A121))</f>
        <v/>
      </c>
      <c r="H121" s="43" t="str">
        <f aca="false">IF(A121="","",-SUMIFS(MOVIMIENTOS!$E$4:$E$20000,MOVIMIENTOS!$B$4:$B$20000,A121,MOVIMIENTOS!$H$4:$H$20000,"Gasto")+SUMIFS(FLEXIBLE!$D$4:$D$200,FLEXIBLE!$F$4:$F$200,A121))</f>
        <v/>
      </c>
      <c r="I121" s="43" t="str">
        <f aca="false">IF(A121="","",G121-H121)</f>
        <v/>
      </c>
      <c r="J121" s="44" t="str">
        <f aca="false">IF(A121="","",IF(N121=0,"en curso",IF(N(G121)=0,"",I121/G121)))</f>
        <v/>
      </c>
      <c r="K121" s="43" t="str">
        <f aca="false">IF(A121="","",SUM(B121:F121))</f>
        <v/>
      </c>
      <c r="L121" s="45" t="str">
        <f aca="false">IF(A121="","",YEAR(A121))</f>
        <v/>
      </c>
      <c r="M121" s="45" t="str">
        <f aca="false">IF(A121="","",COUNTIFS(MOVIMIENTOS!$B$4:$B$20000,A121,MOVIMIENTOS!$H$4:$H$20000,"Por revisar"))</f>
        <v/>
      </c>
      <c r="N121" s="45" t="str">
        <f aca="true">IF(A121="","",IF(A121&lt;DATE(YEAR(TODAY()),MONTH(TODAY()),1),1,0))</f>
        <v/>
      </c>
    </row>
    <row r="122" customFormat="false" ht="15" hidden="false" customHeight="false" outlineLevel="0" collapsed="false">
      <c r="G122" s="43" t="str">
        <f aca="false">IF(A122="","",SUMIFS(MOVIMIENTOS!$E$4:$E$20000,MOVIMIENTOS!$B$4:$B$20000,A122,MOVIMIENTOS!$H$4:$H$20000,"Ingreso")+SUMIFS(FLEXIBLE!$D$4:$D$200,FLEXIBLE!$F$4:$F$200,A122))</f>
        <v/>
      </c>
      <c r="H122" s="43" t="str">
        <f aca="false">IF(A122="","",-SUMIFS(MOVIMIENTOS!$E$4:$E$20000,MOVIMIENTOS!$B$4:$B$20000,A122,MOVIMIENTOS!$H$4:$H$20000,"Gasto")+SUMIFS(FLEXIBLE!$D$4:$D$200,FLEXIBLE!$F$4:$F$200,A122))</f>
        <v/>
      </c>
      <c r="I122" s="43" t="str">
        <f aca="false">IF(A122="","",G122-H122)</f>
        <v/>
      </c>
      <c r="J122" s="44" t="str">
        <f aca="false">IF(A122="","",IF(N122=0,"en curso",IF(N(G122)=0,"",I122/G122)))</f>
        <v/>
      </c>
      <c r="K122" s="43" t="str">
        <f aca="false">IF(A122="","",SUM(B122:F122))</f>
        <v/>
      </c>
      <c r="L122" s="45" t="str">
        <f aca="false">IF(A122="","",YEAR(A122))</f>
        <v/>
      </c>
      <c r="M122" s="45" t="str">
        <f aca="false">IF(A122="","",COUNTIFS(MOVIMIENTOS!$B$4:$B$20000,A122,MOVIMIENTOS!$H$4:$H$20000,"Por revisar"))</f>
        <v/>
      </c>
      <c r="N122" s="45" t="str">
        <f aca="true">IF(A122="","",IF(A122&lt;DATE(YEAR(TODAY()),MONTH(TODAY()),1),1,0))</f>
        <v/>
      </c>
    </row>
    <row r="123" customFormat="false" ht="15" hidden="false" customHeight="false" outlineLevel="0" collapsed="false">
      <c r="G123" s="43" t="str">
        <f aca="false">IF(A123="","",SUMIFS(MOVIMIENTOS!$E$4:$E$20000,MOVIMIENTOS!$B$4:$B$20000,A123,MOVIMIENTOS!$H$4:$H$20000,"Ingreso")+SUMIFS(FLEXIBLE!$D$4:$D$200,FLEXIBLE!$F$4:$F$200,A123))</f>
        <v/>
      </c>
      <c r="H123" s="43" t="str">
        <f aca="false">IF(A123="","",-SUMIFS(MOVIMIENTOS!$E$4:$E$20000,MOVIMIENTOS!$B$4:$B$20000,A123,MOVIMIENTOS!$H$4:$H$20000,"Gasto")+SUMIFS(FLEXIBLE!$D$4:$D$200,FLEXIBLE!$F$4:$F$200,A123))</f>
        <v/>
      </c>
      <c r="I123" s="43" t="str">
        <f aca="false">IF(A123="","",G123-H123)</f>
        <v/>
      </c>
      <c r="J123" s="44" t="str">
        <f aca="false">IF(A123="","",IF(N123=0,"en curso",IF(N(G123)=0,"",I123/G123)))</f>
        <v/>
      </c>
      <c r="K123" s="43" t="str">
        <f aca="false">IF(A123="","",SUM(B123:F123))</f>
        <v/>
      </c>
      <c r="L123" s="45" t="str">
        <f aca="false">IF(A123="","",YEAR(A123))</f>
        <v/>
      </c>
      <c r="M123" s="45" t="str">
        <f aca="false">IF(A123="","",COUNTIFS(MOVIMIENTOS!$B$4:$B$20000,A123,MOVIMIENTOS!$H$4:$H$20000,"Por revisar"))</f>
        <v/>
      </c>
      <c r="N123" s="45" t="str">
        <f aca="true">IF(A123="","",IF(A123&lt;DATE(YEAR(TODAY()),MONTH(TODAY()),1),1,0))</f>
        <v/>
      </c>
    </row>
    <row r="124" customFormat="false" ht="15" hidden="false" customHeight="false" outlineLevel="0" collapsed="false">
      <c r="G124" s="43" t="str">
        <f aca="false">IF(A124="","",SUMIFS(MOVIMIENTOS!$E$4:$E$20000,MOVIMIENTOS!$B$4:$B$20000,A124,MOVIMIENTOS!$H$4:$H$20000,"Ingreso")+SUMIFS(FLEXIBLE!$D$4:$D$200,FLEXIBLE!$F$4:$F$200,A124))</f>
        <v/>
      </c>
      <c r="H124" s="43" t="str">
        <f aca="false">IF(A124="","",-SUMIFS(MOVIMIENTOS!$E$4:$E$20000,MOVIMIENTOS!$B$4:$B$20000,A124,MOVIMIENTOS!$H$4:$H$20000,"Gasto")+SUMIFS(FLEXIBLE!$D$4:$D$200,FLEXIBLE!$F$4:$F$200,A124))</f>
        <v/>
      </c>
      <c r="I124" s="43" t="str">
        <f aca="false">IF(A124="","",G124-H124)</f>
        <v/>
      </c>
      <c r="J124" s="44" t="str">
        <f aca="false">IF(A124="","",IF(N124=0,"en curso",IF(N(G124)=0,"",I124/G124)))</f>
        <v/>
      </c>
      <c r="K124" s="43" t="str">
        <f aca="false">IF(A124="","",SUM(B124:F124))</f>
        <v/>
      </c>
      <c r="L124" s="45" t="str">
        <f aca="false">IF(A124="","",YEAR(A124))</f>
        <v/>
      </c>
      <c r="M124" s="45" t="str">
        <f aca="false">IF(A124="","",COUNTIFS(MOVIMIENTOS!$B$4:$B$20000,A124,MOVIMIENTOS!$H$4:$H$20000,"Por revisar"))</f>
        <v/>
      </c>
      <c r="N124" s="45" t="str">
        <f aca="true">IF(A124="","",IF(A124&lt;DATE(YEAR(TODAY()),MONTH(TODAY()),1),1,0))</f>
        <v/>
      </c>
    </row>
    <row r="125" customFormat="false" ht="15" hidden="false" customHeight="false" outlineLevel="0" collapsed="false">
      <c r="G125" s="43" t="str">
        <f aca="false">IF(A125="","",SUMIFS(MOVIMIENTOS!$E$4:$E$20000,MOVIMIENTOS!$B$4:$B$20000,A125,MOVIMIENTOS!$H$4:$H$20000,"Ingreso")+SUMIFS(FLEXIBLE!$D$4:$D$200,FLEXIBLE!$F$4:$F$200,A125))</f>
        <v/>
      </c>
      <c r="H125" s="43" t="str">
        <f aca="false">IF(A125="","",-SUMIFS(MOVIMIENTOS!$E$4:$E$20000,MOVIMIENTOS!$B$4:$B$20000,A125,MOVIMIENTOS!$H$4:$H$20000,"Gasto")+SUMIFS(FLEXIBLE!$D$4:$D$200,FLEXIBLE!$F$4:$F$200,A125))</f>
        <v/>
      </c>
      <c r="I125" s="43" t="str">
        <f aca="false">IF(A125="","",G125-H125)</f>
        <v/>
      </c>
      <c r="J125" s="44" t="str">
        <f aca="false">IF(A125="","",IF(N125=0,"en curso",IF(N(G125)=0,"",I125/G125)))</f>
        <v/>
      </c>
      <c r="K125" s="43" t="str">
        <f aca="false">IF(A125="","",SUM(B125:F125))</f>
        <v/>
      </c>
      <c r="L125" s="45" t="str">
        <f aca="false">IF(A125="","",YEAR(A125))</f>
        <v/>
      </c>
      <c r="M125" s="45" t="str">
        <f aca="false">IF(A125="","",COUNTIFS(MOVIMIENTOS!$B$4:$B$20000,A125,MOVIMIENTOS!$H$4:$H$20000,"Por revisar"))</f>
        <v/>
      </c>
      <c r="N125" s="45" t="str">
        <f aca="true">IF(A125="","",IF(A125&lt;DATE(YEAR(TODAY()),MONTH(TODAY()),1),1,0))</f>
        <v/>
      </c>
    </row>
    <row r="126" customFormat="false" ht="15" hidden="false" customHeight="false" outlineLevel="0" collapsed="false">
      <c r="G126" s="43" t="str">
        <f aca="false">IF(A126="","",SUMIFS(MOVIMIENTOS!$E$4:$E$20000,MOVIMIENTOS!$B$4:$B$20000,A126,MOVIMIENTOS!$H$4:$H$20000,"Ingreso")+SUMIFS(FLEXIBLE!$D$4:$D$200,FLEXIBLE!$F$4:$F$200,A126))</f>
        <v/>
      </c>
      <c r="H126" s="43" t="str">
        <f aca="false">IF(A126="","",-SUMIFS(MOVIMIENTOS!$E$4:$E$20000,MOVIMIENTOS!$B$4:$B$20000,A126,MOVIMIENTOS!$H$4:$H$20000,"Gasto")+SUMIFS(FLEXIBLE!$D$4:$D$200,FLEXIBLE!$F$4:$F$200,A126))</f>
        <v/>
      </c>
      <c r="I126" s="43" t="str">
        <f aca="false">IF(A126="","",G126-H126)</f>
        <v/>
      </c>
      <c r="J126" s="44" t="str">
        <f aca="false">IF(A126="","",IF(N126=0,"en curso",IF(N(G126)=0,"",I126/G126)))</f>
        <v/>
      </c>
      <c r="K126" s="43" t="str">
        <f aca="false">IF(A126="","",SUM(B126:F126))</f>
        <v/>
      </c>
      <c r="L126" s="45" t="str">
        <f aca="false">IF(A126="","",YEAR(A126))</f>
        <v/>
      </c>
      <c r="M126" s="45" t="str">
        <f aca="false">IF(A126="","",COUNTIFS(MOVIMIENTOS!$B$4:$B$20000,A126,MOVIMIENTOS!$H$4:$H$20000,"Por revisar"))</f>
        <v/>
      </c>
      <c r="N126" s="45" t="str">
        <f aca="true">IF(A126="","",IF(A126&lt;DATE(YEAR(TODAY()),MONTH(TODAY()),1),1,0))</f>
        <v/>
      </c>
    </row>
    <row r="127" customFormat="false" ht="15" hidden="false" customHeight="false" outlineLevel="0" collapsed="false">
      <c r="G127" s="43" t="str">
        <f aca="false">IF(A127="","",SUMIFS(MOVIMIENTOS!$E$4:$E$20000,MOVIMIENTOS!$B$4:$B$20000,A127,MOVIMIENTOS!$H$4:$H$20000,"Ingreso")+SUMIFS(FLEXIBLE!$D$4:$D$200,FLEXIBLE!$F$4:$F$200,A127))</f>
        <v/>
      </c>
      <c r="H127" s="43" t="str">
        <f aca="false">IF(A127="","",-SUMIFS(MOVIMIENTOS!$E$4:$E$20000,MOVIMIENTOS!$B$4:$B$20000,A127,MOVIMIENTOS!$H$4:$H$20000,"Gasto")+SUMIFS(FLEXIBLE!$D$4:$D$200,FLEXIBLE!$F$4:$F$200,A127))</f>
        <v/>
      </c>
      <c r="I127" s="43" t="str">
        <f aca="false">IF(A127="","",G127-H127)</f>
        <v/>
      </c>
      <c r="J127" s="44" t="str">
        <f aca="false">IF(A127="","",IF(N127=0,"en curso",IF(N(G127)=0,"",I127/G127)))</f>
        <v/>
      </c>
      <c r="K127" s="43" t="str">
        <f aca="false">IF(A127="","",SUM(B127:F127))</f>
        <v/>
      </c>
      <c r="L127" s="45" t="str">
        <f aca="false">IF(A127="","",YEAR(A127))</f>
        <v/>
      </c>
      <c r="M127" s="45" t="str">
        <f aca="false">IF(A127="","",COUNTIFS(MOVIMIENTOS!$B$4:$B$20000,A127,MOVIMIENTOS!$H$4:$H$20000,"Por revisar"))</f>
        <v/>
      </c>
      <c r="N127" s="45" t="str">
        <f aca="true">IF(A127="","",IF(A127&lt;DATE(YEAR(TODAY()),MONTH(TODAY()),1),1,0))</f>
        <v/>
      </c>
    </row>
    <row r="128" customFormat="false" ht="15" hidden="false" customHeight="false" outlineLevel="0" collapsed="false">
      <c r="G128" s="43" t="str">
        <f aca="false">IF(A128="","",SUMIFS(MOVIMIENTOS!$E$4:$E$20000,MOVIMIENTOS!$B$4:$B$20000,A128,MOVIMIENTOS!$H$4:$H$20000,"Ingreso")+SUMIFS(FLEXIBLE!$D$4:$D$200,FLEXIBLE!$F$4:$F$200,A128))</f>
        <v/>
      </c>
      <c r="H128" s="43" t="str">
        <f aca="false">IF(A128="","",-SUMIFS(MOVIMIENTOS!$E$4:$E$20000,MOVIMIENTOS!$B$4:$B$20000,A128,MOVIMIENTOS!$H$4:$H$20000,"Gasto")+SUMIFS(FLEXIBLE!$D$4:$D$200,FLEXIBLE!$F$4:$F$200,A128))</f>
        <v/>
      </c>
      <c r="I128" s="43" t="str">
        <f aca="false">IF(A128="","",G128-H128)</f>
        <v/>
      </c>
      <c r="J128" s="44" t="str">
        <f aca="false">IF(A128="","",IF(N128=0,"en curso",IF(N(G128)=0,"",I128/G128)))</f>
        <v/>
      </c>
      <c r="K128" s="43" t="str">
        <f aca="false">IF(A128="","",SUM(B128:F128))</f>
        <v/>
      </c>
      <c r="L128" s="45" t="str">
        <f aca="false">IF(A128="","",YEAR(A128))</f>
        <v/>
      </c>
      <c r="M128" s="45" t="str">
        <f aca="false">IF(A128="","",COUNTIFS(MOVIMIENTOS!$B$4:$B$20000,A128,MOVIMIENTOS!$H$4:$H$20000,"Por revisar"))</f>
        <v/>
      </c>
      <c r="N128" s="45" t="str">
        <f aca="true">IF(A128="","",IF(A128&lt;DATE(YEAR(TODAY()),MONTH(TODAY()),1),1,0))</f>
        <v/>
      </c>
    </row>
    <row r="129" customFormat="false" ht="15" hidden="false" customHeight="false" outlineLevel="0" collapsed="false">
      <c r="G129" s="43" t="str">
        <f aca="false">IF(A129="","",SUMIFS(MOVIMIENTOS!$E$4:$E$20000,MOVIMIENTOS!$B$4:$B$20000,A129,MOVIMIENTOS!$H$4:$H$20000,"Ingreso")+SUMIFS(FLEXIBLE!$D$4:$D$200,FLEXIBLE!$F$4:$F$200,A129))</f>
        <v/>
      </c>
      <c r="H129" s="43" t="str">
        <f aca="false">IF(A129="","",-SUMIFS(MOVIMIENTOS!$E$4:$E$20000,MOVIMIENTOS!$B$4:$B$20000,A129,MOVIMIENTOS!$H$4:$H$20000,"Gasto")+SUMIFS(FLEXIBLE!$D$4:$D$200,FLEXIBLE!$F$4:$F$200,A129))</f>
        <v/>
      </c>
      <c r="I129" s="43" t="str">
        <f aca="false">IF(A129="","",G129-H129)</f>
        <v/>
      </c>
      <c r="J129" s="44" t="str">
        <f aca="false">IF(A129="","",IF(N129=0,"en curso",IF(N(G129)=0,"",I129/G129)))</f>
        <v/>
      </c>
      <c r="K129" s="43" t="str">
        <f aca="false">IF(A129="","",SUM(B129:F129))</f>
        <v/>
      </c>
      <c r="L129" s="45" t="str">
        <f aca="false">IF(A129="","",YEAR(A129))</f>
        <v/>
      </c>
      <c r="M129" s="45" t="str">
        <f aca="false">IF(A129="","",COUNTIFS(MOVIMIENTOS!$B$4:$B$20000,A129,MOVIMIENTOS!$H$4:$H$20000,"Por revisar"))</f>
        <v/>
      </c>
      <c r="N129" s="45" t="str">
        <f aca="true">IF(A129="","",IF(A129&lt;DATE(YEAR(TODAY()),MONTH(TODAY()),1),1,0))</f>
        <v/>
      </c>
    </row>
    <row r="130" customFormat="false" ht="15" hidden="false" customHeight="false" outlineLevel="0" collapsed="false">
      <c r="G130" s="43" t="str">
        <f aca="false">IF(A130="","",SUMIFS(MOVIMIENTOS!$E$4:$E$20000,MOVIMIENTOS!$B$4:$B$20000,A130,MOVIMIENTOS!$H$4:$H$20000,"Ingreso")+SUMIFS(FLEXIBLE!$D$4:$D$200,FLEXIBLE!$F$4:$F$200,A130))</f>
        <v/>
      </c>
      <c r="H130" s="43" t="str">
        <f aca="false">IF(A130="","",-SUMIFS(MOVIMIENTOS!$E$4:$E$20000,MOVIMIENTOS!$B$4:$B$20000,A130,MOVIMIENTOS!$H$4:$H$20000,"Gasto")+SUMIFS(FLEXIBLE!$D$4:$D$200,FLEXIBLE!$F$4:$F$200,A130))</f>
        <v/>
      </c>
      <c r="I130" s="43" t="str">
        <f aca="false">IF(A130="","",G130-H130)</f>
        <v/>
      </c>
      <c r="J130" s="44" t="str">
        <f aca="false">IF(A130="","",IF(N130=0,"en curso",IF(N(G130)=0,"",I130/G130)))</f>
        <v/>
      </c>
      <c r="K130" s="43" t="str">
        <f aca="false">IF(A130="","",SUM(B130:F130))</f>
        <v/>
      </c>
      <c r="L130" s="45" t="str">
        <f aca="false">IF(A130="","",YEAR(A130))</f>
        <v/>
      </c>
      <c r="M130" s="45" t="str">
        <f aca="false">IF(A130="","",COUNTIFS(MOVIMIENTOS!$B$4:$B$20000,A130,MOVIMIENTOS!$H$4:$H$20000,"Por revisar"))</f>
        <v/>
      </c>
      <c r="N130" s="45" t="str">
        <f aca="true">IF(A130="","",IF(A130&lt;DATE(YEAR(TODAY()),MONTH(TODAY()),1),1,0))</f>
        <v/>
      </c>
    </row>
    <row r="131" customFormat="false" ht="15" hidden="false" customHeight="false" outlineLevel="0" collapsed="false">
      <c r="G131" s="43" t="str">
        <f aca="false">IF(A131="","",SUMIFS(MOVIMIENTOS!$E$4:$E$20000,MOVIMIENTOS!$B$4:$B$20000,A131,MOVIMIENTOS!$H$4:$H$20000,"Ingreso")+SUMIFS(FLEXIBLE!$D$4:$D$200,FLEXIBLE!$F$4:$F$200,A131))</f>
        <v/>
      </c>
      <c r="H131" s="43" t="str">
        <f aca="false">IF(A131="","",-SUMIFS(MOVIMIENTOS!$E$4:$E$20000,MOVIMIENTOS!$B$4:$B$20000,A131,MOVIMIENTOS!$H$4:$H$20000,"Gasto")+SUMIFS(FLEXIBLE!$D$4:$D$200,FLEXIBLE!$F$4:$F$200,A131))</f>
        <v/>
      </c>
      <c r="I131" s="43" t="str">
        <f aca="false">IF(A131="","",G131-H131)</f>
        <v/>
      </c>
      <c r="J131" s="44" t="str">
        <f aca="false">IF(A131="","",IF(N131=0,"en curso",IF(N(G131)=0,"",I131/G131)))</f>
        <v/>
      </c>
      <c r="K131" s="43" t="str">
        <f aca="false">IF(A131="","",SUM(B131:F131))</f>
        <v/>
      </c>
      <c r="L131" s="45" t="str">
        <f aca="false">IF(A131="","",YEAR(A131))</f>
        <v/>
      </c>
      <c r="M131" s="45" t="str">
        <f aca="false">IF(A131="","",COUNTIFS(MOVIMIENTOS!$B$4:$B$20000,A131,MOVIMIENTOS!$H$4:$H$20000,"Por revisar"))</f>
        <v/>
      </c>
      <c r="N131" s="45" t="str">
        <f aca="true">IF(A131="","",IF(A131&lt;DATE(YEAR(TODAY()),MONTH(TODAY()),1),1,0))</f>
        <v/>
      </c>
    </row>
    <row r="132" customFormat="false" ht="15" hidden="false" customHeight="false" outlineLevel="0" collapsed="false">
      <c r="G132" s="43" t="str">
        <f aca="false">IF(A132="","",SUMIFS(MOVIMIENTOS!$E$4:$E$20000,MOVIMIENTOS!$B$4:$B$20000,A132,MOVIMIENTOS!$H$4:$H$20000,"Ingreso")+SUMIFS(FLEXIBLE!$D$4:$D$200,FLEXIBLE!$F$4:$F$200,A132))</f>
        <v/>
      </c>
      <c r="H132" s="43" t="str">
        <f aca="false">IF(A132="","",-SUMIFS(MOVIMIENTOS!$E$4:$E$20000,MOVIMIENTOS!$B$4:$B$20000,A132,MOVIMIENTOS!$H$4:$H$20000,"Gasto")+SUMIFS(FLEXIBLE!$D$4:$D$200,FLEXIBLE!$F$4:$F$200,A132))</f>
        <v/>
      </c>
      <c r="I132" s="43" t="str">
        <f aca="false">IF(A132="","",G132-H132)</f>
        <v/>
      </c>
      <c r="J132" s="44" t="str">
        <f aca="false">IF(A132="","",IF(N132=0,"en curso",IF(N(G132)=0,"",I132/G132)))</f>
        <v/>
      </c>
      <c r="K132" s="43" t="str">
        <f aca="false">IF(A132="","",SUM(B132:F132))</f>
        <v/>
      </c>
      <c r="L132" s="45" t="str">
        <f aca="false">IF(A132="","",YEAR(A132))</f>
        <v/>
      </c>
      <c r="M132" s="45" t="str">
        <f aca="false">IF(A132="","",COUNTIFS(MOVIMIENTOS!$B$4:$B$20000,A132,MOVIMIENTOS!$H$4:$H$20000,"Por revisar"))</f>
        <v/>
      </c>
      <c r="N132" s="45" t="str">
        <f aca="true">IF(A132="","",IF(A132&lt;DATE(YEAR(TODAY()),MONTH(TODAY()),1),1,0))</f>
        <v/>
      </c>
    </row>
    <row r="133" customFormat="false" ht="15" hidden="false" customHeight="false" outlineLevel="0" collapsed="false">
      <c r="G133" s="43" t="str">
        <f aca="false">IF(A133="","",SUMIFS(MOVIMIENTOS!$E$4:$E$20000,MOVIMIENTOS!$B$4:$B$20000,A133,MOVIMIENTOS!$H$4:$H$20000,"Ingreso")+SUMIFS(FLEXIBLE!$D$4:$D$200,FLEXIBLE!$F$4:$F$200,A133))</f>
        <v/>
      </c>
      <c r="H133" s="43" t="str">
        <f aca="false">IF(A133="","",-SUMIFS(MOVIMIENTOS!$E$4:$E$20000,MOVIMIENTOS!$B$4:$B$20000,A133,MOVIMIENTOS!$H$4:$H$20000,"Gasto")+SUMIFS(FLEXIBLE!$D$4:$D$200,FLEXIBLE!$F$4:$F$200,A133))</f>
        <v/>
      </c>
      <c r="I133" s="43" t="str">
        <f aca="false">IF(A133="","",G133-H133)</f>
        <v/>
      </c>
      <c r="J133" s="44" t="str">
        <f aca="false">IF(A133="","",IF(N133=0,"en curso",IF(N(G133)=0,"",I133/G133)))</f>
        <v/>
      </c>
      <c r="K133" s="43" t="str">
        <f aca="false">IF(A133="","",SUM(B133:F133))</f>
        <v/>
      </c>
      <c r="L133" s="45" t="str">
        <f aca="false">IF(A133="","",YEAR(A133))</f>
        <v/>
      </c>
      <c r="M133" s="45" t="str">
        <f aca="false">IF(A133="","",COUNTIFS(MOVIMIENTOS!$B$4:$B$20000,A133,MOVIMIENTOS!$H$4:$H$20000,"Por revisar"))</f>
        <v/>
      </c>
      <c r="N133" s="45" t="str">
        <f aca="true">IF(A133="","",IF(A133&lt;DATE(YEAR(TODAY()),MONTH(TODAY()),1),1,0))</f>
        <v/>
      </c>
    </row>
    <row r="134" customFormat="false" ht="15" hidden="false" customHeight="false" outlineLevel="0" collapsed="false">
      <c r="G134" s="43" t="str">
        <f aca="false">IF(A134="","",SUMIFS(MOVIMIENTOS!$E$4:$E$20000,MOVIMIENTOS!$B$4:$B$20000,A134,MOVIMIENTOS!$H$4:$H$20000,"Ingreso")+SUMIFS(FLEXIBLE!$D$4:$D$200,FLEXIBLE!$F$4:$F$200,A134))</f>
        <v/>
      </c>
      <c r="H134" s="43" t="str">
        <f aca="false">IF(A134="","",-SUMIFS(MOVIMIENTOS!$E$4:$E$20000,MOVIMIENTOS!$B$4:$B$20000,A134,MOVIMIENTOS!$H$4:$H$20000,"Gasto")+SUMIFS(FLEXIBLE!$D$4:$D$200,FLEXIBLE!$F$4:$F$200,A134))</f>
        <v/>
      </c>
      <c r="I134" s="43" t="str">
        <f aca="false">IF(A134="","",G134-H134)</f>
        <v/>
      </c>
      <c r="J134" s="44" t="str">
        <f aca="false">IF(A134="","",IF(N134=0,"en curso",IF(N(G134)=0,"",I134/G134)))</f>
        <v/>
      </c>
      <c r="K134" s="43" t="str">
        <f aca="false">IF(A134="","",SUM(B134:F134))</f>
        <v/>
      </c>
      <c r="L134" s="45" t="str">
        <f aca="false">IF(A134="","",YEAR(A134))</f>
        <v/>
      </c>
      <c r="M134" s="45" t="str">
        <f aca="false">IF(A134="","",COUNTIFS(MOVIMIENTOS!$B$4:$B$20000,A134,MOVIMIENTOS!$H$4:$H$20000,"Por revisar"))</f>
        <v/>
      </c>
      <c r="N134" s="45" t="str">
        <f aca="true">IF(A134="","",IF(A134&lt;DATE(YEAR(TODAY()),MONTH(TODAY()),1),1,0))</f>
        <v/>
      </c>
    </row>
    <row r="135" customFormat="false" ht="15" hidden="false" customHeight="false" outlineLevel="0" collapsed="false">
      <c r="G135" s="43" t="str">
        <f aca="false">IF(A135="","",SUMIFS(MOVIMIENTOS!$E$4:$E$20000,MOVIMIENTOS!$B$4:$B$20000,A135,MOVIMIENTOS!$H$4:$H$20000,"Ingreso")+SUMIFS(FLEXIBLE!$D$4:$D$200,FLEXIBLE!$F$4:$F$200,A135))</f>
        <v/>
      </c>
      <c r="H135" s="43" t="str">
        <f aca="false">IF(A135="","",-SUMIFS(MOVIMIENTOS!$E$4:$E$20000,MOVIMIENTOS!$B$4:$B$20000,A135,MOVIMIENTOS!$H$4:$H$20000,"Gasto")+SUMIFS(FLEXIBLE!$D$4:$D$200,FLEXIBLE!$F$4:$F$200,A135))</f>
        <v/>
      </c>
      <c r="I135" s="43" t="str">
        <f aca="false">IF(A135="","",G135-H135)</f>
        <v/>
      </c>
      <c r="J135" s="44" t="str">
        <f aca="false">IF(A135="","",IF(N135=0,"en curso",IF(N(G135)=0,"",I135/G135)))</f>
        <v/>
      </c>
      <c r="K135" s="43" t="str">
        <f aca="false">IF(A135="","",SUM(B135:F135))</f>
        <v/>
      </c>
      <c r="L135" s="45" t="str">
        <f aca="false">IF(A135="","",YEAR(A135))</f>
        <v/>
      </c>
      <c r="M135" s="45" t="str">
        <f aca="false">IF(A135="","",COUNTIFS(MOVIMIENTOS!$B$4:$B$20000,A135,MOVIMIENTOS!$H$4:$H$20000,"Por revisar"))</f>
        <v/>
      </c>
      <c r="N135" s="45" t="str">
        <f aca="true">IF(A135="","",IF(A135&lt;DATE(YEAR(TODAY()),MONTH(TODAY()),1),1,0))</f>
        <v/>
      </c>
    </row>
    <row r="136" customFormat="false" ht="15" hidden="false" customHeight="false" outlineLevel="0" collapsed="false">
      <c r="G136" s="43" t="str">
        <f aca="false">IF(A136="","",SUMIFS(MOVIMIENTOS!$E$4:$E$20000,MOVIMIENTOS!$B$4:$B$20000,A136,MOVIMIENTOS!$H$4:$H$20000,"Ingreso")+SUMIFS(FLEXIBLE!$D$4:$D$200,FLEXIBLE!$F$4:$F$200,A136))</f>
        <v/>
      </c>
      <c r="H136" s="43" t="str">
        <f aca="false">IF(A136="","",-SUMIFS(MOVIMIENTOS!$E$4:$E$20000,MOVIMIENTOS!$B$4:$B$20000,A136,MOVIMIENTOS!$H$4:$H$20000,"Gasto")+SUMIFS(FLEXIBLE!$D$4:$D$200,FLEXIBLE!$F$4:$F$200,A136))</f>
        <v/>
      </c>
      <c r="I136" s="43" t="str">
        <f aca="false">IF(A136="","",G136-H136)</f>
        <v/>
      </c>
      <c r="J136" s="44" t="str">
        <f aca="false">IF(A136="","",IF(N136=0,"en curso",IF(N(G136)=0,"",I136/G136)))</f>
        <v/>
      </c>
      <c r="K136" s="43" t="str">
        <f aca="false">IF(A136="","",SUM(B136:F136))</f>
        <v/>
      </c>
      <c r="L136" s="45" t="str">
        <f aca="false">IF(A136="","",YEAR(A136))</f>
        <v/>
      </c>
      <c r="M136" s="45" t="str">
        <f aca="false">IF(A136="","",COUNTIFS(MOVIMIENTOS!$B$4:$B$20000,A136,MOVIMIENTOS!$H$4:$H$20000,"Por revisar"))</f>
        <v/>
      </c>
      <c r="N136" s="45" t="str">
        <f aca="true">IF(A136="","",IF(A136&lt;DATE(YEAR(TODAY()),MONTH(TODAY()),1),1,0))</f>
        <v/>
      </c>
    </row>
    <row r="137" customFormat="false" ht="15" hidden="false" customHeight="false" outlineLevel="0" collapsed="false">
      <c r="G137" s="43" t="str">
        <f aca="false">IF(A137="","",SUMIFS(MOVIMIENTOS!$E$4:$E$20000,MOVIMIENTOS!$B$4:$B$20000,A137,MOVIMIENTOS!$H$4:$H$20000,"Ingreso")+SUMIFS(FLEXIBLE!$D$4:$D$200,FLEXIBLE!$F$4:$F$200,A137))</f>
        <v/>
      </c>
      <c r="H137" s="43" t="str">
        <f aca="false">IF(A137="","",-SUMIFS(MOVIMIENTOS!$E$4:$E$20000,MOVIMIENTOS!$B$4:$B$20000,A137,MOVIMIENTOS!$H$4:$H$20000,"Gasto")+SUMIFS(FLEXIBLE!$D$4:$D$200,FLEXIBLE!$F$4:$F$200,A137))</f>
        <v/>
      </c>
      <c r="I137" s="43" t="str">
        <f aca="false">IF(A137="","",G137-H137)</f>
        <v/>
      </c>
      <c r="J137" s="44" t="str">
        <f aca="false">IF(A137="","",IF(N137=0,"en curso",IF(N(G137)=0,"",I137/G137)))</f>
        <v/>
      </c>
      <c r="K137" s="43" t="str">
        <f aca="false">IF(A137="","",SUM(B137:F137))</f>
        <v/>
      </c>
      <c r="L137" s="45" t="str">
        <f aca="false">IF(A137="","",YEAR(A137))</f>
        <v/>
      </c>
      <c r="M137" s="45" t="str">
        <f aca="false">IF(A137="","",COUNTIFS(MOVIMIENTOS!$B$4:$B$20000,A137,MOVIMIENTOS!$H$4:$H$20000,"Por revisar"))</f>
        <v/>
      </c>
      <c r="N137" s="45" t="str">
        <f aca="true">IF(A137="","",IF(A137&lt;DATE(YEAR(TODAY()),MONTH(TODAY()),1),1,0))</f>
        <v/>
      </c>
    </row>
    <row r="138" customFormat="false" ht="15" hidden="false" customHeight="false" outlineLevel="0" collapsed="false">
      <c r="G138" s="43" t="str">
        <f aca="false">IF(A138="","",SUMIFS(MOVIMIENTOS!$E$4:$E$20000,MOVIMIENTOS!$B$4:$B$20000,A138,MOVIMIENTOS!$H$4:$H$20000,"Ingreso")+SUMIFS(FLEXIBLE!$D$4:$D$200,FLEXIBLE!$F$4:$F$200,A138))</f>
        <v/>
      </c>
      <c r="H138" s="43" t="str">
        <f aca="false">IF(A138="","",-SUMIFS(MOVIMIENTOS!$E$4:$E$20000,MOVIMIENTOS!$B$4:$B$20000,A138,MOVIMIENTOS!$H$4:$H$20000,"Gasto")+SUMIFS(FLEXIBLE!$D$4:$D$200,FLEXIBLE!$F$4:$F$200,A138))</f>
        <v/>
      </c>
      <c r="I138" s="43" t="str">
        <f aca="false">IF(A138="","",G138-H138)</f>
        <v/>
      </c>
      <c r="J138" s="44" t="str">
        <f aca="false">IF(A138="","",IF(N138=0,"en curso",IF(N(G138)=0,"",I138/G138)))</f>
        <v/>
      </c>
      <c r="K138" s="43" t="str">
        <f aca="false">IF(A138="","",SUM(B138:F138))</f>
        <v/>
      </c>
      <c r="L138" s="45" t="str">
        <f aca="false">IF(A138="","",YEAR(A138))</f>
        <v/>
      </c>
      <c r="M138" s="45" t="str">
        <f aca="false">IF(A138="","",COUNTIFS(MOVIMIENTOS!$B$4:$B$20000,A138,MOVIMIENTOS!$H$4:$H$20000,"Por revisar"))</f>
        <v/>
      </c>
      <c r="N138" s="45" t="str">
        <f aca="true">IF(A138="","",IF(A138&lt;DATE(YEAR(TODAY()),MONTH(TODAY()),1),1,0))</f>
        <v/>
      </c>
    </row>
    <row r="139" customFormat="false" ht="15" hidden="false" customHeight="false" outlineLevel="0" collapsed="false">
      <c r="G139" s="43" t="str">
        <f aca="false">IF(A139="","",SUMIFS(MOVIMIENTOS!$E$4:$E$20000,MOVIMIENTOS!$B$4:$B$20000,A139,MOVIMIENTOS!$H$4:$H$20000,"Ingreso")+SUMIFS(FLEXIBLE!$D$4:$D$200,FLEXIBLE!$F$4:$F$200,A139))</f>
        <v/>
      </c>
      <c r="H139" s="43" t="str">
        <f aca="false">IF(A139="","",-SUMIFS(MOVIMIENTOS!$E$4:$E$20000,MOVIMIENTOS!$B$4:$B$20000,A139,MOVIMIENTOS!$H$4:$H$20000,"Gasto")+SUMIFS(FLEXIBLE!$D$4:$D$200,FLEXIBLE!$F$4:$F$200,A139))</f>
        <v/>
      </c>
      <c r="I139" s="43" t="str">
        <f aca="false">IF(A139="","",G139-H139)</f>
        <v/>
      </c>
      <c r="J139" s="44" t="str">
        <f aca="false">IF(A139="","",IF(N139=0,"en curso",IF(N(G139)=0,"",I139/G139)))</f>
        <v/>
      </c>
      <c r="K139" s="43" t="str">
        <f aca="false">IF(A139="","",SUM(B139:F139))</f>
        <v/>
      </c>
      <c r="L139" s="45" t="str">
        <f aca="false">IF(A139="","",YEAR(A139))</f>
        <v/>
      </c>
      <c r="M139" s="45" t="str">
        <f aca="false">IF(A139="","",COUNTIFS(MOVIMIENTOS!$B$4:$B$20000,A139,MOVIMIENTOS!$H$4:$H$20000,"Por revisar"))</f>
        <v/>
      </c>
      <c r="N139" s="45" t="str">
        <f aca="true">IF(A139="","",IF(A139&lt;DATE(YEAR(TODAY()),MONTH(TODAY()),1),1,0))</f>
        <v/>
      </c>
    </row>
    <row r="140" customFormat="false" ht="15" hidden="false" customHeight="false" outlineLevel="0" collapsed="false">
      <c r="G140" s="43" t="str">
        <f aca="false">IF(A140="","",SUMIFS(MOVIMIENTOS!$E$4:$E$20000,MOVIMIENTOS!$B$4:$B$20000,A140,MOVIMIENTOS!$H$4:$H$20000,"Ingreso")+SUMIFS(FLEXIBLE!$D$4:$D$200,FLEXIBLE!$F$4:$F$200,A140))</f>
        <v/>
      </c>
      <c r="H140" s="43" t="str">
        <f aca="false">IF(A140="","",-SUMIFS(MOVIMIENTOS!$E$4:$E$20000,MOVIMIENTOS!$B$4:$B$20000,A140,MOVIMIENTOS!$H$4:$H$20000,"Gasto")+SUMIFS(FLEXIBLE!$D$4:$D$200,FLEXIBLE!$F$4:$F$200,A140))</f>
        <v/>
      </c>
      <c r="I140" s="43" t="str">
        <f aca="false">IF(A140="","",G140-H140)</f>
        <v/>
      </c>
      <c r="J140" s="44" t="str">
        <f aca="false">IF(A140="","",IF(N140=0,"en curso",IF(N(G140)=0,"",I140/G140)))</f>
        <v/>
      </c>
      <c r="K140" s="43" t="str">
        <f aca="false">IF(A140="","",SUM(B140:F140))</f>
        <v/>
      </c>
      <c r="L140" s="45" t="str">
        <f aca="false">IF(A140="","",YEAR(A140))</f>
        <v/>
      </c>
      <c r="M140" s="45" t="str">
        <f aca="false">IF(A140="","",COUNTIFS(MOVIMIENTOS!$B$4:$B$20000,A140,MOVIMIENTOS!$H$4:$H$20000,"Por revisar"))</f>
        <v/>
      </c>
      <c r="N140" s="45" t="str">
        <f aca="true">IF(A140="","",IF(A140&lt;DATE(YEAR(TODAY()),MONTH(TODAY()),1),1,0))</f>
        <v/>
      </c>
    </row>
    <row r="141" customFormat="false" ht="15" hidden="false" customHeight="false" outlineLevel="0" collapsed="false">
      <c r="G141" s="43" t="str">
        <f aca="false">IF(A141="","",SUMIFS(MOVIMIENTOS!$E$4:$E$20000,MOVIMIENTOS!$B$4:$B$20000,A141,MOVIMIENTOS!$H$4:$H$20000,"Ingreso")+SUMIFS(FLEXIBLE!$D$4:$D$200,FLEXIBLE!$F$4:$F$200,A141))</f>
        <v/>
      </c>
      <c r="H141" s="43" t="str">
        <f aca="false">IF(A141="","",-SUMIFS(MOVIMIENTOS!$E$4:$E$20000,MOVIMIENTOS!$B$4:$B$20000,A141,MOVIMIENTOS!$H$4:$H$20000,"Gasto")+SUMIFS(FLEXIBLE!$D$4:$D$200,FLEXIBLE!$F$4:$F$200,A141))</f>
        <v/>
      </c>
      <c r="I141" s="43" t="str">
        <f aca="false">IF(A141="","",G141-H141)</f>
        <v/>
      </c>
      <c r="J141" s="44" t="str">
        <f aca="false">IF(A141="","",IF(N141=0,"en curso",IF(N(G141)=0,"",I141/G141)))</f>
        <v/>
      </c>
      <c r="K141" s="43" t="str">
        <f aca="false">IF(A141="","",SUM(B141:F141))</f>
        <v/>
      </c>
      <c r="L141" s="45" t="str">
        <f aca="false">IF(A141="","",YEAR(A141))</f>
        <v/>
      </c>
      <c r="M141" s="45" t="str">
        <f aca="false">IF(A141="","",COUNTIFS(MOVIMIENTOS!$B$4:$B$20000,A141,MOVIMIENTOS!$H$4:$H$20000,"Por revisar"))</f>
        <v/>
      </c>
      <c r="N141" s="45" t="str">
        <f aca="true">IF(A141="","",IF(A141&lt;DATE(YEAR(TODAY()),MONTH(TODAY()),1),1,0))</f>
        <v/>
      </c>
    </row>
    <row r="142" customFormat="false" ht="15" hidden="false" customHeight="false" outlineLevel="0" collapsed="false">
      <c r="G142" s="43" t="str">
        <f aca="false">IF(A142="","",SUMIFS(MOVIMIENTOS!$E$4:$E$20000,MOVIMIENTOS!$B$4:$B$20000,A142,MOVIMIENTOS!$H$4:$H$20000,"Ingreso")+SUMIFS(FLEXIBLE!$D$4:$D$200,FLEXIBLE!$F$4:$F$200,A142))</f>
        <v/>
      </c>
      <c r="H142" s="43" t="str">
        <f aca="false">IF(A142="","",-SUMIFS(MOVIMIENTOS!$E$4:$E$20000,MOVIMIENTOS!$B$4:$B$20000,A142,MOVIMIENTOS!$H$4:$H$20000,"Gasto")+SUMIFS(FLEXIBLE!$D$4:$D$200,FLEXIBLE!$F$4:$F$200,A142))</f>
        <v/>
      </c>
      <c r="I142" s="43" t="str">
        <f aca="false">IF(A142="","",G142-H142)</f>
        <v/>
      </c>
      <c r="J142" s="44" t="str">
        <f aca="false">IF(A142="","",IF(N142=0,"en curso",IF(N(G142)=0,"",I142/G142)))</f>
        <v/>
      </c>
      <c r="K142" s="43" t="str">
        <f aca="false">IF(A142="","",SUM(B142:F142))</f>
        <v/>
      </c>
      <c r="L142" s="45" t="str">
        <f aca="false">IF(A142="","",YEAR(A142))</f>
        <v/>
      </c>
      <c r="M142" s="45" t="str">
        <f aca="false">IF(A142="","",COUNTIFS(MOVIMIENTOS!$B$4:$B$20000,A142,MOVIMIENTOS!$H$4:$H$20000,"Por revisar"))</f>
        <v/>
      </c>
      <c r="N142" s="45" t="str">
        <f aca="true">IF(A142="","",IF(A142&lt;DATE(YEAR(TODAY()),MONTH(TODAY()),1),1,0))</f>
        <v/>
      </c>
    </row>
    <row r="143" customFormat="false" ht="15" hidden="false" customHeight="false" outlineLevel="0" collapsed="false">
      <c r="G143" s="43" t="str">
        <f aca="false">IF(A143="","",SUMIFS(MOVIMIENTOS!$E$4:$E$20000,MOVIMIENTOS!$B$4:$B$20000,A143,MOVIMIENTOS!$H$4:$H$20000,"Ingreso")+SUMIFS(FLEXIBLE!$D$4:$D$200,FLEXIBLE!$F$4:$F$200,A143))</f>
        <v/>
      </c>
      <c r="H143" s="43" t="str">
        <f aca="false">IF(A143="","",-SUMIFS(MOVIMIENTOS!$E$4:$E$20000,MOVIMIENTOS!$B$4:$B$20000,A143,MOVIMIENTOS!$H$4:$H$20000,"Gasto")+SUMIFS(FLEXIBLE!$D$4:$D$200,FLEXIBLE!$F$4:$F$200,A143))</f>
        <v/>
      </c>
      <c r="I143" s="43" t="str">
        <f aca="false">IF(A143="","",G143-H143)</f>
        <v/>
      </c>
      <c r="J143" s="44" t="str">
        <f aca="false">IF(A143="","",IF(N143=0,"en curso",IF(N(G143)=0,"",I143/G143)))</f>
        <v/>
      </c>
      <c r="K143" s="43" t="str">
        <f aca="false">IF(A143="","",SUM(B143:F143))</f>
        <v/>
      </c>
      <c r="L143" s="45" t="str">
        <f aca="false">IF(A143="","",YEAR(A143))</f>
        <v/>
      </c>
      <c r="M143" s="45" t="str">
        <f aca="false">IF(A143="","",COUNTIFS(MOVIMIENTOS!$B$4:$B$20000,A143,MOVIMIENTOS!$H$4:$H$20000,"Por revisar"))</f>
        <v/>
      </c>
      <c r="N143" s="45" t="str">
        <f aca="true">IF(A143="","",IF(A143&lt;DATE(YEAR(TODAY()),MONTH(TODAY()),1),1,0))</f>
        <v/>
      </c>
    </row>
    <row r="144" customFormat="false" ht="15" hidden="false" customHeight="false" outlineLevel="0" collapsed="false">
      <c r="G144" s="43" t="str">
        <f aca="false">IF(A144="","",SUMIFS(MOVIMIENTOS!$E$4:$E$20000,MOVIMIENTOS!$B$4:$B$20000,A144,MOVIMIENTOS!$H$4:$H$20000,"Ingreso")+SUMIFS(FLEXIBLE!$D$4:$D$200,FLEXIBLE!$F$4:$F$200,A144))</f>
        <v/>
      </c>
      <c r="H144" s="43" t="str">
        <f aca="false">IF(A144="","",-SUMIFS(MOVIMIENTOS!$E$4:$E$20000,MOVIMIENTOS!$B$4:$B$20000,A144,MOVIMIENTOS!$H$4:$H$20000,"Gasto")+SUMIFS(FLEXIBLE!$D$4:$D$200,FLEXIBLE!$F$4:$F$200,A144))</f>
        <v/>
      </c>
      <c r="I144" s="43" t="str">
        <f aca="false">IF(A144="","",G144-H144)</f>
        <v/>
      </c>
      <c r="J144" s="44" t="str">
        <f aca="false">IF(A144="","",IF(N144=0,"en curso",IF(N(G144)=0,"",I144/G144)))</f>
        <v/>
      </c>
      <c r="K144" s="43" t="str">
        <f aca="false">IF(A144="","",SUM(B144:F144))</f>
        <v/>
      </c>
      <c r="L144" s="45" t="str">
        <f aca="false">IF(A144="","",YEAR(A144))</f>
        <v/>
      </c>
      <c r="M144" s="45" t="str">
        <f aca="false">IF(A144="","",COUNTIFS(MOVIMIENTOS!$B$4:$B$20000,A144,MOVIMIENTOS!$H$4:$H$20000,"Por revisar"))</f>
        <v/>
      </c>
      <c r="N144" s="45" t="str">
        <f aca="true">IF(A144="","",IF(A144&lt;DATE(YEAR(TODAY()),MONTH(TODAY()),1),1,0))</f>
        <v/>
      </c>
    </row>
    <row r="145" customFormat="false" ht="15" hidden="false" customHeight="false" outlineLevel="0" collapsed="false">
      <c r="G145" s="43" t="str">
        <f aca="false">IF(A145="","",SUMIFS(MOVIMIENTOS!$E$4:$E$20000,MOVIMIENTOS!$B$4:$B$20000,A145,MOVIMIENTOS!$H$4:$H$20000,"Ingreso")+SUMIFS(FLEXIBLE!$D$4:$D$200,FLEXIBLE!$F$4:$F$200,A145))</f>
        <v/>
      </c>
      <c r="H145" s="43" t="str">
        <f aca="false">IF(A145="","",-SUMIFS(MOVIMIENTOS!$E$4:$E$20000,MOVIMIENTOS!$B$4:$B$20000,A145,MOVIMIENTOS!$H$4:$H$20000,"Gasto")+SUMIFS(FLEXIBLE!$D$4:$D$200,FLEXIBLE!$F$4:$F$200,A145))</f>
        <v/>
      </c>
      <c r="I145" s="43" t="str">
        <f aca="false">IF(A145="","",G145-H145)</f>
        <v/>
      </c>
      <c r="J145" s="44" t="str">
        <f aca="false">IF(A145="","",IF(N145=0,"en curso",IF(N(G145)=0,"",I145/G145)))</f>
        <v/>
      </c>
      <c r="K145" s="43" t="str">
        <f aca="false">IF(A145="","",SUM(B145:F145))</f>
        <v/>
      </c>
      <c r="L145" s="45" t="str">
        <f aca="false">IF(A145="","",YEAR(A145))</f>
        <v/>
      </c>
      <c r="M145" s="45" t="str">
        <f aca="false">IF(A145="","",COUNTIFS(MOVIMIENTOS!$B$4:$B$20000,A145,MOVIMIENTOS!$H$4:$H$20000,"Por revisar"))</f>
        <v/>
      </c>
      <c r="N145" s="45" t="str">
        <f aca="true">IF(A145="","",IF(A145&lt;DATE(YEAR(TODAY()),MONTH(TODAY()),1),1,0))</f>
        <v/>
      </c>
    </row>
    <row r="146" customFormat="false" ht="15" hidden="false" customHeight="false" outlineLevel="0" collapsed="false">
      <c r="G146" s="43" t="str">
        <f aca="false">IF(A146="","",SUMIFS(MOVIMIENTOS!$E$4:$E$20000,MOVIMIENTOS!$B$4:$B$20000,A146,MOVIMIENTOS!$H$4:$H$20000,"Ingreso")+SUMIFS(FLEXIBLE!$D$4:$D$200,FLEXIBLE!$F$4:$F$200,A146))</f>
        <v/>
      </c>
      <c r="H146" s="43" t="str">
        <f aca="false">IF(A146="","",-SUMIFS(MOVIMIENTOS!$E$4:$E$20000,MOVIMIENTOS!$B$4:$B$20000,A146,MOVIMIENTOS!$H$4:$H$20000,"Gasto")+SUMIFS(FLEXIBLE!$D$4:$D$200,FLEXIBLE!$F$4:$F$200,A146))</f>
        <v/>
      </c>
      <c r="I146" s="43" t="str">
        <f aca="false">IF(A146="","",G146-H146)</f>
        <v/>
      </c>
      <c r="J146" s="44" t="str">
        <f aca="false">IF(A146="","",IF(N146=0,"en curso",IF(N(G146)=0,"",I146/G146)))</f>
        <v/>
      </c>
      <c r="K146" s="43" t="str">
        <f aca="false">IF(A146="","",SUM(B146:F146))</f>
        <v/>
      </c>
      <c r="L146" s="45" t="str">
        <f aca="false">IF(A146="","",YEAR(A146))</f>
        <v/>
      </c>
      <c r="M146" s="45" t="str">
        <f aca="false">IF(A146="","",COUNTIFS(MOVIMIENTOS!$B$4:$B$20000,A146,MOVIMIENTOS!$H$4:$H$20000,"Por revisar"))</f>
        <v/>
      </c>
      <c r="N146" s="45" t="str">
        <f aca="true">IF(A146="","",IF(A146&lt;DATE(YEAR(TODAY()),MONTH(TODAY()),1),1,0))</f>
        <v/>
      </c>
    </row>
    <row r="147" customFormat="false" ht="15" hidden="false" customHeight="false" outlineLevel="0" collapsed="false">
      <c r="G147" s="43" t="str">
        <f aca="false">IF(A147="","",SUMIFS(MOVIMIENTOS!$E$4:$E$20000,MOVIMIENTOS!$B$4:$B$20000,A147,MOVIMIENTOS!$H$4:$H$20000,"Ingreso")+SUMIFS(FLEXIBLE!$D$4:$D$200,FLEXIBLE!$F$4:$F$200,A147))</f>
        <v/>
      </c>
      <c r="H147" s="43" t="str">
        <f aca="false">IF(A147="","",-SUMIFS(MOVIMIENTOS!$E$4:$E$20000,MOVIMIENTOS!$B$4:$B$20000,A147,MOVIMIENTOS!$H$4:$H$20000,"Gasto")+SUMIFS(FLEXIBLE!$D$4:$D$200,FLEXIBLE!$F$4:$F$200,A147))</f>
        <v/>
      </c>
      <c r="I147" s="43" t="str">
        <f aca="false">IF(A147="","",G147-H147)</f>
        <v/>
      </c>
      <c r="J147" s="44" t="str">
        <f aca="false">IF(A147="","",IF(N147=0,"en curso",IF(N(G147)=0,"",I147/G147)))</f>
        <v/>
      </c>
      <c r="K147" s="43" t="str">
        <f aca="false">IF(A147="","",SUM(B147:F147))</f>
        <v/>
      </c>
      <c r="L147" s="45" t="str">
        <f aca="false">IF(A147="","",YEAR(A147))</f>
        <v/>
      </c>
      <c r="M147" s="45" t="str">
        <f aca="false">IF(A147="","",COUNTIFS(MOVIMIENTOS!$B$4:$B$20000,A147,MOVIMIENTOS!$H$4:$H$20000,"Por revisar"))</f>
        <v/>
      </c>
      <c r="N147" s="45" t="str">
        <f aca="true">IF(A147="","",IF(A147&lt;DATE(YEAR(TODAY()),MONTH(TODAY()),1),1,0))</f>
        <v/>
      </c>
    </row>
    <row r="148" customFormat="false" ht="15" hidden="false" customHeight="false" outlineLevel="0" collapsed="false">
      <c r="G148" s="43" t="str">
        <f aca="false">IF(A148="","",SUMIFS(MOVIMIENTOS!$E$4:$E$20000,MOVIMIENTOS!$B$4:$B$20000,A148,MOVIMIENTOS!$H$4:$H$20000,"Ingreso")+SUMIFS(FLEXIBLE!$D$4:$D$200,FLEXIBLE!$F$4:$F$200,A148))</f>
        <v/>
      </c>
      <c r="H148" s="43" t="str">
        <f aca="false">IF(A148="","",-SUMIFS(MOVIMIENTOS!$E$4:$E$20000,MOVIMIENTOS!$B$4:$B$20000,A148,MOVIMIENTOS!$H$4:$H$20000,"Gasto")+SUMIFS(FLEXIBLE!$D$4:$D$200,FLEXIBLE!$F$4:$F$200,A148))</f>
        <v/>
      </c>
      <c r="I148" s="43" t="str">
        <f aca="false">IF(A148="","",G148-H148)</f>
        <v/>
      </c>
      <c r="J148" s="44" t="str">
        <f aca="false">IF(A148="","",IF(N148=0,"en curso",IF(N(G148)=0,"",I148/G148)))</f>
        <v/>
      </c>
      <c r="K148" s="43" t="str">
        <f aca="false">IF(A148="","",SUM(B148:F148))</f>
        <v/>
      </c>
      <c r="L148" s="45" t="str">
        <f aca="false">IF(A148="","",YEAR(A148))</f>
        <v/>
      </c>
      <c r="M148" s="45" t="str">
        <f aca="false">IF(A148="","",COUNTIFS(MOVIMIENTOS!$B$4:$B$20000,A148,MOVIMIENTOS!$H$4:$H$20000,"Por revisar"))</f>
        <v/>
      </c>
      <c r="N148" s="45" t="str">
        <f aca="true">IF(A148="","",IF(A148&lt;DATE(YEAR(TODAY()),MONTH(TODAY()),1),1,0))</f>
        <v/>
      </c>
    </row>
    <row r="149" customFormat="false" ht="15" hidden="false" customHeight="false" outlineLevel="0" collapsed="false">
      <c r="G149" s="43" t="str">
        <f aca="false">IF(A149="","",SUMIFS(MOVIMIENTOS!$E$4:$E$20000,MOVIMIENTOS!$B$4:$B$20000,A149,MOVIMIENTOS!$H$4:$H$20000,"Ingreso")+SUMIFS(FLEXIBLE!$D$4:$D$200,FLEXIBLE!$F$4:$F$200,A149))</f>
        <v/>
      </c>
      <c r="H149" s="43" t="str">
        <f aca="false">IF(A149="","",-SUMIFS(MOVIMIENTOS!$E$4:$E$20000,MOVIMIENTOS!$B$4:$B$20000,A149,MOVIMIENTOS!$H$4:$H$20000,"Gasto")+SUMIFS(FLEXIBLE!$D$4:$D$200,FLEXIBLE!$F$4:$F$200,A149))</f>
        <v/>
      </c>
      <c r="I149" s="43" t="str">
        <f aca="false">IF(A149="","",G149-H149)</f>
        <v/>
      </c>
      <c r="J149" s="44" t="str">
        <f aca="false">IF(A149="","",IF(N149=0,"en curso",IF(N(G149)=0,"",I149/G149)))</f>
        <v/>
      </c>
      <c r="K149" s="43" t="str">
        <f aca="false">IF(A149="","",SUM(B149:F149))</f>
        <v/>
      </c>
      <c r="L149" s="45" t="str">
        <f aca="false">IF(A149="","",YEAR(A149))</f>
        <v/>
      </c>
      <c r="M149" s="45" t="str">
        <f aca="false">IF(A149="","",COUNTIFS(MOVIMIENTOS!$B$4:$B$20000,A149,MOVIMIENTOS!$H$4:$H$20000,"Por revisar"))</f>
        <v/>
      </c>
      <c r="N149" s="45" t="str">
        <f aca="true">IF(A149="","",IF(A149&lt;DATE(YEAR(TODAY()),MONTH(TODAY()),1),1,0))</f>
        <v/>
      </c>
    </row>
    <row r="150" customFormat="false" ht="15" hidden="false" customHeight="false" outlineLevel="0" collapsed="false">
      <c r="G150" s="43" t="str">
        <f aca="false">IF(A150="","",SUMIFS(MOVIMIENTOS!$E$4:$E$20000,MOVIMIENTOS!$B$4:$B$20000,A150,MOVIMIENTOS!$H$4:$H$20000,"Ingreso")+SUMIFS(FLEXIBLE!$D$4:$D$200,FLEXIBLE!$F$4:$F$200,A150))</f>
        <v/>
      </c>
      <c r="H150" s="43" t="str">
        <f aca="false">IF(A150="","",-SUMIFS(MOVIMIENTOS!$E$4:$E$20000,MOVIMIENTOS!$B$4:$B$20000,A150,MOVIMIENTOS!$H$4:$H$20000,"Gasto")+SUMIFS(FLEXIBLE!$D$4:$D$200,FLEXIBLE!$F$4:$F$200,A150))</f>
        <v/>
      </c>
      <c r="I150" s="43" t="str">
        <f aca="false">IF(A150="","",G150-H150)</f>
        <v/>
      </c>
      <c r="J150" s="44" t="str">
        <f aca="false">IF(A150="","",IF(N150=0,"en curso",IF(N(G150)=0,"",I150/G150)))</f>
        <v/>
      </c>
      <c r="K150" s="43" t="str">
        <f aca="false">IF(A150="","",SUM(B150:F150))</f>
        <v/>
      </c>
      <c r="L150" s="45" t="str">
        <f aca="false">IF(A150="","",YEAR(A150))</f>
        <v/>
      </c>
      <c r="M150" s="45" t="str">
        <f aca="false">IF(A150="","",COUNTIFS(MOVIMIENTOS!$B$4:$B$20000,A150,MOVIMIENTOS!$H$4:$H$20000,"Por revisar"))</f>
        <v/>
      </c>
      <c r="N150" s="45" t="str">
        <f aca="true">IF(A150="","",IF(A150&lt;DATE(YEAR(TODAY()),MONTH(TODAY()),1),1,0))</f>
        <v/>
      </c>
    </row>
    <row r="151" customFormat="false" ht="15" hidden="false" customHeight="false" outlineLevel="0" collapsed="false">
      <c r="G151" s="43" t="str">
        <f aca="false">IF(A151="","",SUMIFS(MOVIMIENTOS!$E$4:$E$20000,MOVIMIENTOS!$B$4:$B$20000,A151,MOVIMIENTOS!$H$4:$H$20000,"Ingreso")+SUMIFS(FLEXIBLE!$D$4:$D$200,FLEXIBLE!$F$4:$F$200,A151))</f>
        <v/>
      </c>
      <c r="H151" s="43" t="str">
        <f aca="false">IF(A151="","",-SUMIFS(MOVIMIENTOS!$E$4:$E$20000,MOVIMIENTOS!$B$4:$B$20000,A151,MOVIMIENTOS!$H$4:$H$20000,"Gasto")+SUMIFS(FLEXIBLE!$D$4:$D$200,FLEXIBLE!$F$4:$F$200,A151))</f>
        <v/>
      </c>
      <c r="I151" s="43" t="str">
        <f aca="false">IF(A151="","",G151-H151)</f>
        <v/>
      </c>
      <c r="J151" s="44" t="str">
        <f aca="false">IF(A151="","",IF(N151=0,"en curso",IF(N(G151)=0,"",I151/G151)))</f>
        <v/>
      </c>
      <c r="K151" s="43" t="str">
        <f aca="false">IF(A151="","",SUM(B151:F151))</f>
        <v/>
      </c>
      <c r="L151" s="45" t="str">
        <f aca="false">IF(A151="","",YEAR(A151))</f>
        <v/>
      </c>
      <c r="M151" s="45" t="str">
        <f aca="false">IF(A151="","",COUNTIFS(MOVIMIENTOS!$B$4:$B$20000,A151,MOVIMIENTOS!$H$4:$H$20000,"Por revisar"))</f>
        <v/>
      </c>
      <c r="N151" s="45" t="str">
        <f aca="true">IF(A151="","",IF(A151&lt;DATE(YEAR(TODAY()),MONTH(TODAY()),1),1,0))</f>
        <v/>
      </c>
    </row>
    <row r="152" customFormat="false" ht="15" hidden="false" customHeight="false" outlineLevel="0" collapsed="false">
      <c r="G152" s="43" t="str">
        <f aca="false">IF(A152="","",SUMIFS(MOVIMIENTOS!$E$4:$E$20000,MOVIMIENTOS!$B$4:$B$20000,A152,MOVIMIENTOS!$H$4:$H$20000,"Ingreso")+SUMIFS(FLEXIBLE!$D$4:$D$200,FLEXIBLE!$F$4:$F$200,A152))</f>
        <v/>
      </c>
      <c r="H152" s="43" t="str">
        <f aca="false">IF(A152="","",-SUMIFS(MOVIMIENTOS!$E$4:$E$20000,MOVIMIENTOS!$B$4:$B$20000,A152,MOVIMIENTOS!$H$4:$H$20000,"Gasto")+SUMIFS(FLEXIBLE!$D$4:$D$200,FLEXIBLE!$F$4:$F$200,A152))</f>
        <v/>
      </c>
      <c r="I152" s="43" t="str">
        <f aca="false">IF(A152="","",G152-H152)</f>
        <v/>
      </c>
      <c r="J152" s="44" t="str">
        <f aca="false">IF(A152="","",IF(N152=0,"en curso",IF(N(G152)=0,"",I152/G152)))</f>
        <v/>
      </c>
      <c r="K152" s="43" t="str">
        <f aca="false">IF(A152="","",SUM(B152:F152))</f>
        <v/>
      </c>
      <c r="L152" s="45" t="str">
        <f aca="false">IF(A152="","",YEAR(A152))</f>
        <v/>
      </c>
      <c r="M152" s="45" t="str">
        <f aca="false">IF(A152="","",COUNTIFS(MOVIMIENTOS!$B$4:$B$20000,A152,MOVIMIENTOS!$H$4:$H$20000,"Por revisar"))</f>
        <v/>
      </c>
      <c r="N152" s="45" t="str">
        <f aca="true">IF(A152="","",IF(A152&lt;DATE(YEAR(TODAY()),MONTH(TODAY()),1),1,0))</f>
        <v/>
      </c>
    </row>
    <row r="153" customFormat="false" ht="15" hidden="false" customHeight="false" outlineLevel="0" collapsed="false">
      <c r="G153" s="43" t="str">
        <f aca="false">IF(A153="","",SUMIFS(MOVIMIENTOS!$E$4:$E$20000,MOVIMIENTOS!$B$4:$B$20000,A153,MOVIMIENTOS!$H$4:$H$20000,"Ingreso")+SUMIFS(FLEXIBLE!$D$4:$D$200,FLEXIBLE!$F$4:$F$200,A153))</f>
        <v/>
      </c>
      <c r="H153" s="43" t="str">
        <f aca="false">IF(A153="","",-SUMIFS(MOVIMIENTOS!$E$4:$E$20000,MOVIMIENTOS!$B$4:$B$20000,A153,MOVIMIENTOS!$H$4:$H$20000,"Gasto")+SUMIFS(FLEXIBLE!$D$4:$D$200,FLEXIBLE!$F$4:$F$200,A153))</f>
        <v/>
      </c>
      <c r="I153" s="43" t="str">
        <f aca="false">IF(A153="","",G153-H153)</f>
        <v/>
      </c>
      <c r="J153" s="44" t="str">
        <f aca="false">IF(A153="","",IF(N153=0,"en curso",IF(N(G153)=0,"",I153/G153)))</f>
        <v/>
      </c>
      <c r="K153" s="43" t="str">
        <f aca="false">IF(A153="","",SUM(B153:F153))</f>
        <v/>
      </c>
      <c r="L153" s="45" t="str">
        <f aca="false">IF(A153="","",YEAR(A153))</f>
        <v/>
      </c>
      <c r="M153" s="45" t="str">
        <f aca="false">IF(A153="","",COUNTIFS(MOVIMIENTOS!$B$4:$B$20000,A153,MOVIMIENTOS!$H$4:$H$20000,"Por revisar"))</f>
        <v/>
      </c>
      <c r="N153" s="45" t="str">
        <f aca="true">IF(A153="","",IF(A153&lt;DATE(YEAR(TODAY()),MONTH(TODAY()),1),1,0))</f>
        <v/>
      </c>
    </row>
    <row r="154" customFormat="false" ht="15" hidden="false" customHeight="false" outlineLevel="0" collapsed="false">
      <c r="G154" s="43" t="str">
        <f aca="false">IF(A154="","",SUMIFS(MOVIMIENTOS!$E$4:$E$20000,MOVIMIENTOS!$B$4:$B$20000,A154,MOVIMIENTOS!$H$4:$H$20000,"Ingreso")+SUMIFS(FLEXIBLE!$D$4:$D$200,FLEXIBLE!$F$4:$F$200,A154))</f>
        <v/>
      </c>
      <c r="H154" s="43" t="str">
        <f aca="false">IF(A154="","",-SUMIFS(MOVIMIENTOS!$E$4:$E$20000,MOVIMIENTOS!$B$4:$B$20000,A154,MOVIMIENTOS!$H$4:$H$20000,"Gasto")+SUMIFS(FLEXIBLE!$D$4:$D$200,FLEXIBLE!$F$4:$F$200,A154))</f>
        <v/>
      </c>
      <c r="I154" s="43" t="str">
        <f aca="false">IF(A154="","",G154-H154)</f>
        <v/>
      </c>
      <c r="J154" s="44" t="str">
        <f aca="false">IF(A154="","",IF(N154=0,"en curso",IF(N(G154)=0,"",I154/G154)))</f>
        <v/>
      </c>
      <c r="K154" s="43" t="str">
        <f aca="false">IF(A154="","",SUM(B154:F154))</f>
        <v/>
      </c>
      <c r="L154" s="45" t="str">
        <f aca="false">IF(A154="","",YEAR(A154))</f>
        <v/>
      </c>
      <c r="M154" s="45" t="str">
        <f aca="false">IF(A154="","",COUNTIFS(MOVIMIENTOS!$B$4:$B$20000,A154,MOVIMIENTOS!$H$4:$H$20000,"Por revisar"))</f>
        <v/>
      </c>
      <c r="N154" s="45" t="str">
        <f aca="true">IF(A154="","",IF(A154&lt;DATE(YEAR(TODAY()),MONTH(TODAY()),1),1,0))</f>
        <v/>
      </c>
    </row>
    <row r="155" customFormat="false" ht="15" hidden="false" customHeight="false" outlineLevel="0" collapsed="false">
      <c r="G155" s="43" t="str">
        <f aca="false">IF(A155="","",SUMIFS(MOVIMIENTOS!$E$4:$E$20000,MOVIMIENTOS!$B$4:$B$20000,A155,MOVIMIENTOS!$H$4:$H$20000,"Ingreso")+SUMIFS(FLEXIBLE!$D$4:$D$200,FLEXIBLE!$F$4:$F$200,A155))</f>
        <v/>
      </c>
      <c r="H155" s="43" t="str">
        <f aca="false">IF(A155="","",-SUMIFS(MOVIMIENTOS!$E$4:$E$20000,MOVIMIENTOS!$B$4:$B$20000,A155,MOVIMIENTOS!$H$4:$H$20000,"Gasto")+SUMIFS(FLEXIBLE!$D$4:$D$200,FLEXIBLE!$F$4:$F$200,A155))</f>
        <v/>
      </c>
      <c r="I155" s="43" t="str">
        <f aca="false">IF(A155="","",G155-H155)</f>
        <v/>
      </c>
      <c r="J155" s="44" t="str">
        <f aca="false">IF(A155="","",IF(N155=0,"en curso",IF(N(G155)=0,"",I155/G155)))</f>
        <v/>
      </c>
      <c r="K155" s="43" t="str">
        <f aca="false">IF(A155="","",SUM(B155:F155))</f>
        <v/>
      </c>
      <c r="L155" s="45" t="str">
        <f aca="false">IF(A155="","",YEAR(A155))</f>
        <v/>
      </c>
      <c r="M155" s="45" t="str">
        <f aca="false">IF(A155="","",COUNTIFS(MOVIMIENTOS!$B$4:$B$20000,A155,MOVIMIENTOS!$H$4:$H$20000,"Por revisar"))</f>
        <v/>
      </c>
      <c r="N155" s="45" t="str">
        <f aca="true">IF(A155="","",IF(A155&lt;DATE(YEAR(TODAY()),MONTH(TODAY()),1),1,0))</f>
        <v/>
      </c>
    </row>
    <row r="156" customFormat="false" ht="15" hidden="false" customHeight="false" outlineLevel="0" collapsed="false">
      <c r="G156" s="43" t="str">
        <f aca="false">IF(A156="","",SUMIFS(MOVIMIENTOS!$E$4:$E$20000,MOVIMIENTOS!$B$4:$B$20000,A156,MOVIMIENTOS!$H$4:$H$20000,"Ingreso")+SUMIFS(FLEXIBLE!$D$4:$D$200,FLEXIBLE!$F$4:$F$200,A156))</f>
        <v/>
      </c>
      <c r="H156" s="43" t="str">
        <f aca="false">IF(A156="","",-SUMIFS(MOVIMIENTOS!$E$4:$E$20000,MOVIMIENTOS!$B$4:$B$20000,A156,MOVIMIENTOS!$H$4:$H$20000,"Gasto")+SUMIFS(FLEXIBLE!$D$4:$D$200,FLEXIBLE!$F$4:$F$200,A156))</f>
        <v/>
      </c>
      <c r="I156" s="43" t="str">
        <f aca="false">IF(A156="","",G156-H156)</f>
        <v/>
      </c>
      <c r="J156" s="44" t="str">
        <f aca="false">IF(A156="","",IF(N156=0,"en curso",IF(N(G156)=0,"",I156/G156)))</f>
        <v/>
      </c>
      <c r="K156" s="43" t="str">
        <f aca="false">IF(A156="","",SUM(B156:F156))</f>
        <v/>
      </c>
      <c r="L156" s="45" t="str">
        <f aca="false">IF(A156="","",YEAR(A156))</f>
        <v/>
      </c>
      <c r="M156" s="45" t="str">
        <f aca="false">IF(A156="","",COUNTIFS(MOVIMIENTOS!$B$4:$B$20000,A156,MOVIMIENTOS!$H$4:$H$20000,"Por revisar"))</f>
        <v/>
      </c>
      <c r="N156" s="45" t="str">
        <f aca="true">IF(A156="","",IF(A156&lt;DATE(YEAR(TODAY()),MONTH(TODAY()),1),1,0))</f>
        <v/>
      </c>
    </row>
    <row r="157" customFormat="false" ht="15" hidden="false" customHeight="false" outlineLevel="0" collapsed="false">
      <c r="G157" s="43" t="str">
        <f aca="false">IF(A157="","",SUMIFS(MOVIMIENTOS!$E$4:$E$20000,MOVIMIENTOS!$B$4:$B$20000,A157,MOVIMIENTOS!$H$4:$H$20000,"Ingreso")+SUMIFS(FLEXIBLE!$D$4:$D$200,FLEXIBLE!$F$4:$F$200,A157))</f>
        <v/>
      </c>
      <c r="H157" s="43" t="str">
        <f aca="false">IF(A157="","",-SUMIFS(MOVIMIENTOS!$E$4:$E$20000,MOVIMIENTOS!$B$4:$B$20000,A157,MOVIMIENTOS!$H$4:$H$20000,"Gasto")+SUMIFS(FLEXIBLE!$D$4:$D$200,FLEXIBLE!$F$4:$F$200,A157))</f>
        <v/>
      </c>
      <c r="I157" s="43" t="str">
        <f aca="false">IF(A157="","",G157-H157)</f>
        <v/>
      </c>
      <c r="J157" s="44" t="str">
        <f aca="false">IF(A157="","",IF(N157=0,"en curso",IF(N(G157)=0,"",I157/G157)))</f>
        <v/>
      </c>
      <c r="K157" s="43" t="str">
        <f aca="false">IF(A157="","",SUM(B157:F157))</f>
        <v/>
      </c>
      <c r="L157" s="45" t="str">
        <f aca="false">IF(A157="","",YEAR(A157))</f>
        <v/>
      </c>
      <c r="M157" s="45" t="str">
        <f aca="false">IF(A157="","",COUNTIFS(MOVIMIENTOS!$B$4:$B$20000,A157,MOVIMIENTOS!$H$4:$H$20000,"Por revisar"))</f>
        <v/>
      </c>
      <c r="N157" s="45" t="str">
        <f aca="true">IF(A157="","",IF(A157&lt;DATE(YEAR(TODAY()),MONTH(TODAY()),1),1,0))</f>
        <v/>
      </c>
    </row>
    <row r="158" customFormat="false" ht="15" hidden="false" customHeight="false" outlineLevel="0" collapsed="false">
      <c r="G158" s="43" t="str">
        <f aca="false">IF(A158="","",SUMIFS(MOVIMIENTOS!$E$4:$E$20000,MOVIMIENTOS!$B$4:$B$20000,A158,MOVIMIENTOS!$H$4:$H$20000,"Ingreso")+SUMIFS(FLEXIBLE!$D$4:$D$200,FLEXIBLE!$F$4:$F$200,A158))</f>
        <v/>
      </c>
      <c r="H158" s="43" t="str">
        <f aca="false">IF(A158="","",-SUMIFS(MOVIMIENTOS!$E$4:$E$20000,MOVIMIENTOS!$B$4:$B$20000,A158,MOVIMIENTOS!$H$4:$H$20000,"Gasto")+SUMIFS(FLEXIBLE!$D$4:$D$200,FLEXIBLE!$F$4:$F$200,A158))</f>
        <v/>
      </c>
      <c r="I158" s="43" t="str">
        <f aca="false">IF(A158="","",G158-H158)</f>
        <v/>
      </c>
      <c r="J158" s="44" t="str">
        <f aca="false">IF(A158="","",IF(N158=0,"en curso",IF(N(G158)=0,"",I158/G158)))</f>
        <v/>
      </c>
      <c r="K158" s="43" t="str">
        <f aca="false">IF(A158="","",SUM(B158:F158))</f>
        <v/>
      </c>
      <c r="L158" s="45" t="str">
        <f aca="false">IF(A158="","",YEAR(A158))</f>
        <v/>
      </c>
      <c r="M158" s="45" t="str">
        <f aca="false">IF(A158="","",COUNTIFS(MOVIMIENTOS!$B$4:$B$20000,A158,MOVIMIENTOS!$H$4:$H$20000,"Por revisar"))</f>
        <v/>
      </c>
      <c r="N158" s="45" t="str">
        <f aca="true">IF(A158="","",IF(A158&lt;DATE(YEAR(TODAY()),MONTH(TODAY()),1),1,0))</f>
        <v/>
      </c>
    </row>
    <row r="159" customFormat="false" ht="15" hidden="false" customHeight="false" outlineLevel="0" collapsed="false">
      <c r="G159" s="43" t="str">
        <f aca="false">IF(A159="","",SUMIFS(MOVIMIENTOS!$E$4:$E$20000,MOVIMIENTOS!$B$4:$B$20000,A159,MOVIMIENTOS!$H$4:$H$20000,"Ingreso")+SUMIFS(FLEXIBLE!$D$4:$D$200,FLEXIBLE!$F$4:$F$200,A159))</f>
        <v/>
      </c>
      <c r="H159" s="43" t="str">
        <f aca="false">IF(A159="","",-SUMIFS(MOVIMIENTOS!$E$4:$E$20000,MOVIMIENTOS!$B$4:$B$20000,A159,MOVIMIENTOS!$H$4:$H$20000,"Gasto")+SUMIFS(FLEXIBLE!$D$4:$D$200,FLEXIBLE!$F$4:$F$200,A159))</f>
        <v/>
      </c>
      <c r="I159" s="43" t="str">
        <f aca="false">IF(A159="","",G159-H159)</f>
        <v/>
      </c>
      <c r="J159" s="44" t="str">
        <f aca="false">IF(A159="","",IF(N159=0,"en curso",IF(N(G159)=0,"",I159/G159)))</f>
        <v/>
      </c>
      <c r="K159" s="43" t="str">
        <f aca="false">IF(A159="","",SUM(B159:F159))</f>
        <v/>
      </c>
      <c r="L159" s="45" t="str">
        <f aca="false">IF(A159="","",YEAR(A159))</f>
        <v/>
      </c>
      <c r="M159" s="45" t="str">
        <f aca="false">IF(A159="","",COUNTIFS(MOVIMIENTOS!$B$4:$B$20000,A159,MOVIMIENTOS!$H$4:$H$20000,"Por revisar"))</f>
        <v/>
      </c>
      <c r="N159" s="45" t="str">
        <f aca="true">IF(A159="","",IF(A159&lt;DATE(YEAR(TODAY()),MONTH(TODAY()),1),1,0))</f>
        <v/>
      </c>
    </row>
    <row r="160" customFormat="false" ht="15" hidden="false" customHeight="false" outlineLevel="0" collapsed="false">
      <c r="G160" s="43" t="str">
        <f aca="false">IF(A160="","",SUMIFS(MOVIMIENTOS!$E$4:$E$20000,MOVIMIENTOS!$B$4:$B$20000,A160,MOVIMIENTOS!$H$4:$H$20000,"Ingreso")+SUMIFS(FLEXIBLE!$D$4:$D$200,FLEXIBLE!$F$4:$F$200,A160))</f>
        <v/>
      </c>
      <c r="H160" s="43" t="str">
        <f aca="false">IF(A160="","",-SUMIFS(MOVIMIENTOS!$E$4:$E$20000,MOVIMIENTOS!$B$4:$B$20000,A160,MOVIMIENTOS!$H$4:$H$20000,"Gasto")+SUMIFS(FLEXIBLE!$D$4:$D$200,FLEXIBLE!$F$4:$F$200,A160))</f>
        <v/>
      </c>
      <c r="I160" s="43" t="str">
        <f aca="false">IF(A160="","",G160-H160)</f>
        <v/>
      </c>
      <c r="J160" s="44" t="str">
        <f aca="false">IF(A160="","",IF(N160=0,"en curso",IF(N(G160)=0,"",I160/G160)))</f>
        <v/>
      </c>
      <c r="K160" s="43" t="str">
        <f aca="false">IF(A160="","",SUM(B160:F160))</f>
        <v/>
      </c>
      <c r="L160" s="45" t="str">
        <f aca="false">IF(A160="","",YEAR(A160))</f>
        <v/>
      </c>
      <c r="M160" s="45" t="str">
        <f aca="false">IF(A160="","",COUNTIFS(MOVIMIENTOS!$B$4:$B$20000,A160,MOVIMIENTOS!$H$4:$H$20000,"Por revisar"))</f>
        <v/>
      </c>
      <c r="N160" s="45" t="str">
        <f aca="true">IF(A160="","",IF(A160&lt;DATE(YEAR(TODAY()),MONTH(TODAY()),1),1,0))</f>
        <v/>
      </c>
    </row>
    <row r="161" customFormat="false" ht="15" hidden="false" customHeight="false" outlineLevel="0" collapsed="false">
      <c r="G161" s="43" t="str">
        <f aca="false">IF(A161="","",SUMIFS(MOVIMIENTOS!$E$4:$E$20000,MOVIMIENTOS!$B$4:$B$20000,A161,MOVIMIENTOS!$H$4:$H$20000,"Ingreso")+SUMIFS(FLEXIBLE!$D$4:$D$200,FLEXIBLE!$F$4:$F$200,A161))</f>
        <v/>
      </c>
      <c r="H161" s="43" t="str">
        <f aca="false">IF(A161="","",-SUMIFS(MOVIMIENTOS!$E$4:$E$20000,MOVIMIENTOS!$B$4:$B$20000,A161,MOVIMIENTOS!$H$4:$H$20000,"Gasto")+SUMIFS(FLEXIBLE!$D$4:$D$200,FLEXIBLE!$F$4:$F$200,A161))</f>
        <v/>
      </c>
      <c r="I161" s="43" t="str">
        <f aca="false">IF(A161="","",G161-H161)</f>
        <v/>
      </c>
      <c r="J161" s="44" t="str">
        <f aca="false">IF(A161="","",IF(N161=0,"en curso",IF(N(G161)=0,"",I161/G161)))</f>
        <v/>
      </c>
      <c r="K161" s="43" t="str">
        <f aca="false">IF(A161="","",SUM(B161:F161))</f>
        <v/>
      </c>
      <c r="L161" s="45" t="str">
        <f aca="false">IF(A161="","",YEAR(A161))</f>
        <v/>
      </c>
      <c r="M161" s="45" t="str">
        <f aca="false">IF(A161="","",COUNTIFS(MOVIMIENTOS!$B$4:$B$20000,A161,MOVIMIENTOS!$H$4:$H$20000,"Por revisar"))</f>
        <v/>
      </c>
      <c r="N161" s="45" t="str">
        <f aca="true">IF(A161="","",IF(A161&lt;DATE(YEAR(TODAY()),MONTH(TODAY()),1),1,0))</f>
        <v/>
      </c>
    </row>
    <row r="162" customFormat="false" ht="15" hidden="false" customHeight="false" outlineLevel="0" collapsed="false">
      <c r="G162" s="43" t="str">
        <f aca="false">IF(A162="","",SUMIFS(MOVIMIENTOS!$E$4:$E$20000,MOVIMIENTOS!$B$4:$B$20000,A162,MOVIMIENTOS!$H$4:$H$20000,"Ingreso")+SUMIFS(FLEXIBLE!$D$4:$D$200,FLEXIBLE!$F$4:$F$200,A162))</f>
        <v/>
      </c>
      <c r="H162" s="43" t="str">
        <f aca="false">IF(A162="","",-SUMIFS(MOVIMIENTOS!$E$4:$E$20000,MOVIMIENTOS!$B$4:$B$20000,A162,MOVIMIENTOS!$H$4:$H$20000,"Gasto")+SUMIFS(FLEXIBLE!$D$4:$D$200,FLEXIBLE!$F$4:$F$200,A162))</f>
        <v/>
      </c>
      <c r="I162" s="43" t="str">
        <f aca="false">IF(A162="","",G162-H162)</f>
        <v/>
      </c>
      <c r="J162" s="44" t="str">
        <f aca="false">IF(A162="","",IF(N162=0,"en curso",IF(N(G162)=0,"",I162/G162)))</f>
        <v/>
      </c>
      <c r="K162" s="43" t="str">
        <f aca="false">IF(A162="","",SUM(B162:F162))</f>
        <v/>
      </c>
      <c r="L162" s="45" t="str">
        <f aca="false">IF(A162="","",YEAR(A162))</f>
        <v/>
      </c>
      <c r="M162" s="45" t="str">
        <f aca="false">IF(A162="","",COUNTIFS(MOVIMIENTOS!$B$4:$B$20000,A162,MOVIMIENTOS!$H$4:$H$20000,"Por revisar"))</f>
        <v/>
      </c>
      <c r="N162" s="45" t="str">
        <f aca="true">IF(A162="","",IF(A162&lt;DATE(YEAR(TODAY()),MONTH(TODAY()),1),1,0))</f>
        <v/>
      </c>
    </row>
    <row r="163" customFormat="false" ht="15" hidden="false" customHeight="false" outlineLevel="0" collapsed="false">
      <c r="G163" s="43" t="str">
        <f aca="false">IF(A163="","",SUMIFS(MOVIMIENTOS!$E$4:$E$20000,MOVIMIENTOS!$B$4:$B$20000,A163,MOVIMIENTOS!$H$4:$H$20000,"Ingreso")+SUMIFS(FLEXIBLE!$D$4:$D$200,FLEXIBLE!$F$4:$F$200,A163))</f>
        <v/>
      </c>
      <c r="H163" s="43" t="str">
        <f aca="false">IF(A163="","",-SUMIFS(MOVIMIENTOS!$E$4:$E$20000,MOVIMIENTOS!$B$4:$B$20000,A163,MOVIMIENTOS!$H$4:$H$20000,"Gasto")+SUMIFS(FLEXIBLE!$D$4:$D$200,FLEXIBLE!$F$4:$F$200,A163))</f>
        <v/>
      </c>
      <c r="I163" s="43" t="str">
        <f aca="false">IF(A163="","",G163-H163)</f>
        <v/>
      </c>
      <c r="J163" s="44" t="str">
        <f aca="false">IF(A163="","",IF(N163=0,"en curso",IF(N(G163)=0,"",I163/G163)))</f>
        <v/>
      </c>
      <c r="K163" s="43" t="str">
        <f aca="false">IF(A163="","",SUM(B163:F163))</f>
        <v/>
      </c>
      <c r="L163" s="45" t="str">
        <f aca="false">IF(A163="","",YEAR(A163))</f>
        <v/>
      </c>
      <c r="M163" s="45" t="str">
        <f aca="false">IF(A163="","",COUNTIFS(MOVIMIENTOS!$B$4:$B$20000,A163,MOVIMIENTOS!$H$4:$H$20000,"Por revisar"))</f>
        <v/>
      </c>
      <c r="N163" s="45" t="str">
        <f aca="true">IF(A163="","",IF(A163&lt;DATE(YEAR(TODAY()),MONTH(TODAY()),1),1,0))</f>
        <v/>
      </c>
    </row>
    <row r="164" customFormat="false" ht="15" hidden="false" customHeight="false" outlineLevel="0" collapsed="false">
      <c r="G164" s="43" t="str">
        <f aca="false">IF(A164="","",SUMIFS(MOVIMIENTOS!$E$4:$E$20000,MOVIMIENTOS!$B$4:$B$20000,A164,MOVIMIENTOS!$H$4:$H$20000,"Ingreso")+SUMIFS(FLEXIBLE!$D$4:$D$200,FLEXIBLE!$F$4:$F$200,A164))</f>
        <v/>
      </c>
      <c r="H164" s="43" t="str">
        <f aca="false">IF(A164="","",-SUMIFS(MOVIMIENTOS!$E$4:$E$20000,MOVIMIENTOS!$B$4:$B$20000,A164,MOVIMIENTOS!$H$4:$H$20000,"Gasto")+SUMIFS(FLEXIBLE!$D$4:$D$200,FLEXIBLE!$F$4:$F$200,A164))</f>
        <v/>
      </c>
      <c r="I164" s="43" t="str">
        <f aca="false">IF(A164="","",G164-H164)</f>
        <v/>
      </c>
      <c r="J164" s="44" t="str">
        <f aca="false">IF(A164="","",IF(N164=0,"en curso",IF(N(G164)=0,"",I164/G164)))</f>
        <v/>
      </c>
      <c r="K164" s="43" t="str">
        <f aca="false">IF(A164="","",SUM(B164:F164))</f>
        <v/>
      </c>
      <c r="L164" s="45" t="str">
        <f aca="false">IF(A164="","",YEAR(A164))</f>
        <v/>
      </c>
      <c r="M164" s="45" t="str">
        <f aca="false">IF(A164="","",COUNTIFS(MOVIMIENTOS!$B$4:$B$20000,A164,MOVIMIENTOS!$H$4:$H$20000,"Por revisar"))</f>
        <v/>
      </c>
      <c r="N164" s="45" t="str">
        <f aca="true">IF(A164="","",IF(A164&lt;DATE(YEAR(TODAY()),MONTH(TODAY()),1),1,0))</f>
        <v/>
      </c>
    </row>
    <row r="165" customFormat="false" ht="15" hidden="false" customHeight="false" outlineLevel="0" collapsed="false">
      <c r="G165" s="43" t="str">
        <f aca="false">IF(A165="","",SUMIFS(MOVIMIENTOS!$E$4:$E$20000,MOVIMIENTOS!$B$4:$B$20000,A165,MOVIMIENTOS!$H$4:$H$20000,"Ingreso")+SUMIFS(FLEXIBLE!$D$4:$D$200,FLEXIBLE!$F$4:$F$200,A165))</f>
        <v/>
      </c>
      <c r="H165" s="43" t="str">
        <f aca="false">IF(A165="","",-SUMIFS(MOVIMIENTOS!$E$4:$E$20000,MOVIMIENTOS!$B$4:$B$20000,A165,MOVIMIENTOS!$H$4:$H$20000,"Gasto")+SUMIFS(FLEXIBLE!$D$4:$D$200,FLEXIBLE!$F$4:$F$200,A165))</f>
        <v/>
      </c>
      <c r="I165" s="43" t="str">
        <f aca="false">IF(A165="","",G165-H165)</f>
        <v/>
      </c>
      <c r="J165" s="44" t="str">
        <f aca="false">IF(A165="","",IF(N165=0,"en curso",IF(N(G165)=0,"",I165/G165)))</f>
        <v/>
      </c>
      <c r="K165" s="43" t="str">
        <f aca="false">IF(A165="","",SUM(B165:F165))</f>
        <v/>
      </c>
      <c r="L165" s="45" t="str">
        <f aca="false">IF(A165="","",YEAR(A165))</f>
        <v/>
      </c>
      <c r="M165" s="45" t="str">
        <f aca="false">IF(A165="","",COUNTIFS(MOVIMIENTOS!$B$4:$B$20000,A165,MOVIMIENTOS!$H$4:$H$20000,"Por revisar"))</f>
        <v/>
      </c>
      <c r="N165" s="45" t="str">
        <f aca="true">IF(A165="","",IF(A165&lt;DATE(YEAR(TODAY()),MONTH(TODAY()),1),1,0))</f>
        <v/>
      </c>
    </row>
    <row r="166" customFormat="false" ht="15" hidden="false" customHeight="false" outlineLevel="0" collapsed="false">
      <c r="G166" s="43" t="str">
        <f aca="false">IF(A166="","",SUMIFS(MOVIMIENTOS!$E$4:$E$20000,MOVIMIENTOS!$B$4:$B$20000,A166,MOVIMIENTOS!$H$4:$H$20000,"Ingreso")+SUMIFS(FLEXIBLE!$D$4:$D$200,FLEXIBLE!$F$4:$F$200,A166))</f>
        <v/>
      </c>
      <c r="H166" s="43" t="str">
        <f aca="false">IF(A166="","",-SUMIFS(MOVIMIENTOS!$E$4:$E$20000,MOVIMIENTOS!$B$4:$B$20000,A166,MOVIMIENTOS!$H$4:$H$20000,"Gasto")+SUMIFS(FLEXIBLE!$D$4:$D$200,FLEXIBLE!$F$4:$F$200,A166))</f>
        <v/>
      </c>
      <c r="I166" s="43" t="str">
        <f aca="false">IF(A166="","",G166-H166)</f>
        <v/>
      </c>
      <c r="J166" s="44" t="str">
        <f aca="false">IF(A166="","",IF(N166=0,"en curso",IF(N(G166)=0,"",I166/G166)))</f>
        <v/>
      </c>
      <c r="K166" s="43" t="str">
        <f aca="false">IF(A166="","",SUM(B166:F166))</f>
        <v/>
      </c>
      <c r="L166" s="45" t="str">
        <f aca="false">IF(A166="","",YEAR(A166))</f>
        <v/>
      </c>
      <c r="M166" s="45" t="str">
        <f aca="false">IF(A166="","",COUNTIFS(MOVIMIENTOS!$B$4:$B$20000,A166,MOVIMIENTOS!$H$4:$H$20000,"Por revisar"))</f>
        <v/>
      </c>
      <c r="N166" s="45" t="str">
        <f aca="true">IF(A166="","",IF(A166&lt;DATE(YEAR(TODAY()),MONTH(TODAY()),1),1,0))</f>
        <v/>
      </c>
    </row>
    <row r="167" customFormat="false" ht="15" hidden="false" customHeight="false" outlineLevel="0" collapsed="false">
      <c r="G167" s="43" t="str">
        <f aca="false">IF(A167="","",SUMIFS(MOVIMIENTOS!$E$4:$E$20000,MOVIMIENTOS!$B$4:$B$20000,A167,MOVIMIENTOS!$H$4:$H$20000,"Ingreso")+SUMIFS(FLEXIBLE!$D$4:$D$200,FLEXIBLE!$F$4:$F$200,A167))</f>
        <v/>
      </c>
      <c r="H167" s="43" t="str">
        <f aca="false">IF(A167="","",-SUMIFS(MOVIMIENTOS!$E$4:$E$20000,MOVIMIENTOS!$B$4:$B$20000,A167,MOVIMIENTOS!$H$4:$H$20000,"Gasto")+SUMIFS(FLEXIBLE!$D$4:$D$200,FLEXIBLE!$F$4:$F$200,A167))</f>
        <v/>
      </c>
      <c r="I167" s="43" t="str">
        <f aca="false">IF(A167="","",G167-H167)</f>
        <v/>
      </c>
      <c r="J167" s="44" t="str">
        <f aca="false">IF(A167="","",IF(N167=0,"en curso",IF(N(G167)=0,"",I167/G167)))</f>
        <v/>
      </c>
      <c r="K167" s="43" t="str">
        <f aca="false">IF(A167="","",SUM(B167:F167))</f>
        <v/>
      </c>
      <c r="L167" s="45" t="str">
        <f aca="false">IF(A167="","",YEAR(A167))</f>
        <v/>
      </c>
      <c r="M167" s="45" t="str">
        <f aca="false">IF(A167="","",COUNTIFS(MOVIMIENTOS!$B$4:$B$20000,A167,MOVIMIENTOS!$H$4:$H$20000,"Por revisar"))</f>
        <v/>
      </c>
      <c r="N167" s="45" t="str">
        <f aca="true">IF(A167="","",IF(A167&lt;DATE(YEAR(TODAY()),MONTH(TODAY()),1),1,0))</f>
        <v/>
      </c>
    </row>
    <row r="168" customFormat="false" ht="15" hidden="false" customHeight="false" outlineLevel="0" collapsed="false">
      <c r="G168" s="43" t="str">
        <f aca="false">IF(A168="","",SUMIFS(MOVIMIENTOS!$E$4:$E$20000,MOVIMIENTOS!$B$4:$B$20000,A168,MOVIMIENTOS!$H$4:$H$20000,"Ingreso")+SUMIFS(FLEXIBLE!$D$4:$D$200,FLEXIBLE!$F$4:$F$200,A168))</f>
        <v/>
      </c>
      <c r="H168" s="43" t="str">
        <f aca="false">IF(A168="","",-SUMIFS(MOVIMIENTOS!$E$4:$E$20000,MOVIMIENTOS!$B$4:$B$20000,A168,MOVIMIENTOS!$H$4:$H$20000,"Gasto")+SUMIFS(FLEXIBLE!$D$4:$D$200,FLEXIBLE!$F$4:$F$200,A168))</f>
        <v/>
      </c>
      <c r="I168" s="43" t="str">
        <f aca="false">IF(A168="","",G168-H168)</f>
        <v/>
      </c>
      <c r="J168" s="44" t="str">
        <f aca="false">IF(A168="","",IF(N168=0,"en curso",IF(N(G168)=0,"",I168/G168)))</f>
        <v/>
      </c>
      <c r="K168" s="43" t="str">
        <f aca="false">IF(A168="","",SUM(B168:F168))</f>
        <v/>
      </c>
      <c r="L168" s="45" t="str">
        <f aca="false">IF(A168="","",YEAR(A168))</f>
        <v/>
      </c>
      <c r="M168" s="45" t="str">
        <f aca="false">IF(A168="","",COUNTIFS(MOVIMIENTOS!$B$4:$B$20000,A168,MOVIMIENTOS!$H$4:$H$20000,"Por revisar"))</f>
        <v/>
      </c>
      <c r="N168" s="45" t="str">
        <f aca="true">IF(A168="","",IF(A168&lt;DATE(YEAR(TODAY()),MONTH(TODAY()),1),1,0))</f>
        <v/>
      </c>
    </row>
    <row r="169" customFormat="false" ht="15" hidden="false" customHeight="false" outlineLevel="0" collapsed="false">
      <c r="G169" s="43" t="str">
        <f aca="false">IF(A169="","",SUMIFS(MOVIMIENTOS!$E$4:$E$20000,MOVIMIENTOS!$B$4:$B$20000,A169,MOVIMIENTOS!$H$4:$H$20000,"Ingreso")+SUMIFS(FLEXIBLE!$D$4:$D$200,FLEXIBLE!$F$4:$F$200,A169))</f>
        <v/>
      </c>
      <c r="H169" s="43" t="str">
        <f aca="false">IF(A169="","",-SUMIFS(MOVIMIENTOS!$E$4:$E$20000,MOVIMIENTOS!$B$4:$B$20000,A169,MOVIMIENTOS!$H$4:$H$20000,"Gasto")+SUMIFS(FLEXIBLE!$D$4:$D$200,FLEXIBLE!$F$4:$F$200,A169))</f>
        <v/>
      </c>
      <c r="I169" s="43" t="str">
        <f aca="false">IF(A169="","",G169-H169)</f>
        <v/>
      </c>
      <c r="J169" s="44" t="str">
        <f aca="false">IF(A169="","",IF(N169=0,"en curso",IF(N(G169)=0,"",I169/G169)))</f>
        <v/>
      </c>
      <c r="K169" s="43" t="str">
        <f aca="false">IF(A169="","",SUM(B169:F169))</f>
        <v/>
      </c>
      <c r="L169" s="45" t="str">
        <f aca="false">IF(A169="","",YEAR(A169))</f>
        <v/>
      </c>
      <c r="M169" s="45" t="str">
        <f aca="false">IF(A169="","",COUNTIFS(MOVIMIENTOS!$B$4:$B$20000,A169,MOVIMIENTOS!$H$4:$H$20000,"Por revisar"))</f>
        <v/>
      </c>
      <c r="N169" s="45" t="str">
        <f aca="true">IF(A169="","",IF(A169&lt;DATE(YEAR(TODAY()),MONTH(TODAY()),1),1,0))</f>
        <v/>
      </c>
    </row>
    <row r="170" customFormat="false" ht="15" hidden="false" customHeight="false" outlineLevel="0" collapsed="false">
      <c r="G170" s="43" t="str">
        <f aca="false">IF(A170="","",SUMIFS(MOVIMIENTOS!$E$4:$E$20000,MOVIMIENTOS!$B$4:$B$20000,A170,MOVIMIENTOS!$H$4:$H$20000,"Ingreso")+SUMIFS(FLEXIBLE!$D$4:$D$200,FLEXIBLE!$F$4:$F$200,A170))</f>
        <v/>
      </c>
      <c r="H170" s="43" t="str">
        <f aca="false">IF(A170="","",-SUMIFS(MOVIMIENTOS!$E$4:$E$20000,MOVIMIENTOS!$B$4:$B$20000,A170,MOVIMIENTOS!$H$4:$H$20000,"Gasto")+SUMIFS(FLEXIBLE!$D$4:$D$200,FLEXIBLE!$F$4:$F$200,A170))</f>
        <v/>
      </c>
      <c r="I170" s="43" t="str">
        <f aca="false">IF(A170="","",G170-H170)</f>
        <v/>
      </c>
      <c r="J170" s="44" t="str">
        <f aca="false">IF(A170="","",IF(N170=0,"en curso",IF(N(G170)=0,"",I170/G170)))</f>
        <v/>
      </c>
      <c r="K170" s="43" t="str">
        <f aca="false">IF(A170="","",SUM(B170:F170))</f>
        <v/>
      </c>
      <c r="L170" s="45" t="str">
        <f aca="false">IF(A170="","",YEAR(A170))</f>
        <v/>
      </c>
      <c r="M170" s="45" t="str">
        <f aca="false">IF(A170="","",COUNTIFS(MOVIMIENTOS!$B$4:$B$20000,A170,MOVIMIENTOS!$H$4:$H$20000,"Por revisar"))</f>
        <v/>
      </c>
      <c r="N170" s="45" t="str">
        <f aca="true">IF(A170="","",IF(A170&lt;DATE(YEAR(TODAY()),MONTH(TODAY()),1),1,0))</f>
        <v/>
      </c>
    </row>
    <row r="171" customFormat="false" ht="15" hidden="false" customHeight="false" outlineLevel="0" collapsed="false">
      <c r="G171" s="43" t="str">
        <f aca="false">IF(A171="","",SUMIFS(MOVIMIENTOS!$E$4:$E$20000,MOVIMIENTOS!$B$4:$B$20000,A171,MOVIMIENTOS!$H$4:$H$20000,"Ingreso")+SUMIFS(FLEXIBLE!$D$4:$D$200,FLEXIBLE!$F$4:$F$200,A171))</f>
        <v/>
      </c>
      <c r="H171" s="43" t="str">
        <f aca="false">IF(A171="","",-SUMIFS(MOVIMIENTOS!$E$4:$E$20000,MOVIMIENTOS!$B$4:$B$20000,A171,MOVIMIENTOS!$H$4:$H$20000,"Gasto")+SUMIFS(FLEXIBLE!$D$4:$D$200,FLEXIBLE!$F$4:$F$200,A171))</f>
        <v/>
      </c>
      <c r="I171" s="43" t="str">
        <f aca="false">IF(A171="","",G171-H171)</f>
        <v/>
      </c>
      <c r="J171" s="44" t="str">
        <f aca="false">IF(A171="","",IF(N171=0,"en curso",IF(N(G171)=0,"",I171/G171)))</f>
        <v/>
      </c>
      <c r="K171" s="43" t="str">
        <f aca="false">IF(A171="","",SUM(B171:F171))</f>
        <v/>
      </c>
      <c r="L171" s="45" t="str">
        <f aca="false">IF(A171="","",YEAR(A171))</f>
        <v/>
      </c>
      <c r="M171" s="45" t="str">
        <f aca="false">IF(A171="","",COUNTIFS(MOVIMIENTOS!$B$4:$B$20000,A171,MOVIMIENTOS!$H$4:$H$20000,"Por revisar"))</f>
        <v/>
      </c>
      <c r="N171" s="45" t="str">
        <f aca="true">IF(A171="","",IF(A171&lt;DATE(YEAR(TODAY()),MONTH(TODAY()),1),1,0))</f>
        <v/>
      </c>
    </row>
    <row r="172" customFormat="false" ht="15" hidden="false" customHeight="false" outlineLevel="0" collapsed="false">
      <c r="G172" s="43" t="str">
        <f aca="false">IF(A172="","",SUMIFS(MOVIMIENTOS!$E$4:$E$20000,MOVIMIENTOS!$B$4:$B$20000,A172,MOVIMIENTOS!$H$4:$H$20000,"Ingreso")+SUMIFS(FLEXIBLE!$D$4:$D$200,FLEXIBLE!$F$4:$F$200,A172))</f>
        <v/>
      </c>
      <c r="H172" s="43" t="str">
        <f aca="false">IF(A172="","",-SUMIFS(MOVIMIENTOS!$E$4:$E$20000,MOVIMIENTOS!$B$4:$B$20000,A172,MOVIMIENTOS!$H$4:$H$20000,"Gasto")+SUMIFS(FLEXIBLE!$D$4:$D$200,FLEXIBLE!$F$4:$F$200,A172))</f>
        <v/>
      </c>
      <c r="I172" s="43" t="str">
        <f aca="false">IF(A172="","",G172-H172)</f>
        <v/>
      </c>
      <c r="J172" s="44" t="str">
        <f aca="false">IF(A172="","",IF(N172=0,"en curso",IF(N(G172)=0,"",I172/G172)))</f>
        <v/>
      </c>
      <c r="K172" s="43" t="str">
        <f aca="false">IF(A172="","",SUM(B172:F172))</f>
        <v/>
      </c>
      <c r="L172" s="45" t="str">
        <f aca="false">IF(A172="","",YEAR(A172))</f>
        <v/>
      </c>
      <c r="M172" s="45" t="str">
        <f aca="false">IF(A172="","",COUNTIFS(MOVIMIENTOS!$B$4:$B$20000,A172,MOVIMIENTOS!$H$4:$H$20000,"Por revisar"))</f>
        <v/>
      </c>
      <c r="N172" s="45" t="str">
        <f aca="true">IF(A172="","",IF(A172&lt;DATE(YEAR(TODAY()),MONTH(TODAY()),1),1,0))</f>
        <v/>
      </c>
    </row>
    <row r="173" customFormat="false" ht="15" hidden="false" customHeight="false" outlineLevel="0" collapsed="false">
      <c r="G173" s="43" t="str">
        <f aca="false">IF(A173="","",SUMIFS(MOVIMIENTOS!$E$4:$E$20000,MOVIMIENTOS!$B$4:$B$20000,A173,MOVIMIENTOS!$H$4:$H$20000,"Ingreso")+SUMIFS(FLEXIBLE!$D$4:$D$200,FLEXIBLE!$F$4:$F$200,A173))</f>
        <v/>
      </c>
      <c r="H173" s="43" t="str">
        <f aca="false">IF(A173="","",-SUMIFS(MOVIMIENTOS!$E$4:$E$20000,MOVIMIENTOS!$B$4:$B$20000,A173,MOVIMIENTOS!$H$4:$H$20000,"Gasto")+SUMIFS(FLEXIBLE!$D$4:$D$200,FLEXIBLE!$F$4:$F$200,A173))</f>
        <v/>
      </c>
      <c r="I173" s="43" t="str">
        <f aca="false">IF(A173="","",G173-H173)</f>
        <v/>
      </c>
      <c r="J173" s="44" t="str">
        <f aca="false">IF(A173="","",IF(N173=0,"en curso",IF(N(G173)=0,"",I173/G173)))</f>
        <v/>
      </c>
      <c r="K173" s="43" t="str">
        <f aca="false">IF(A173="","",SUM(B173:F173))</f>
        <v/>
      </c>
      <c r="L173" s="45" t="str">
        <f aca="false">IF(A173="","",YEAR(A173))</f>
        <v/>
      </c>
      <c r="M173" s="45" t="str">
        <f aca="false">IF(A173="","",COUNTIFS(MOVIMIENTOS!$B$4:$B$20000,A173,MOVIMIENTOS!$H$4:$H$20000,"Por revisar"))</f>
        <v/>
      </c>
      <c r="N173" s="45" t="str">
        <f aca="true">IF(A173="","",IF(A173&lt;DATE(YEAR(TODAY()),MONTH(TODAY()),1),1,0))</f>
        <v/>
      </c>
    </row>
    <row r="174" customFormat="false" ht="15" hidden="false" customHeight="false" outlineLevel="0" collapsed="false">
      <c r="G174" s="43" t="str">
        <f aca="false">IF(A174="","",SUMIFS(MOVIMIENTOS!$E$4:$E$20000,MOVIMIENTOS!$B$4:$B$20000,A174,MOVIMIENTOS!$H$4:$H$20000,"Ingreso")+SUMIFS(FLEXIBLE!$D$4:$D$200,FLEXIBLE!$F$4:$F$200,A174))</f>
        <v/>
      </c>
      <c r="H174" s="43" t="str">
        <f aca="false">IF(A174="","",-SUMIFS(MOVIMIENTOS!$E$4:$E$20000,MOVIMIENTOS!$B$4:$B$20000,A174,MOVIMIENTOS!$H$4:$H$20000,"Gasto")+SUMIFS(FLEXIBLE!$D$4:$D$200,FLEXIBLE!$F$4:$F$200,A174))</f>
        <v/>
      </c>
      <c r="I174" s="43" t="str">
        <f aca="false">IF(A174="","",G174-H174)</f>
        <v/>
      </c>
      <c r="J174" s="44" t="str">
        <f aca="false">IF(A174="","",IF(N174=0,"en curso",IF(N(G174)=0,"",I174/G174)))</f>
        <v/>
      </c>
      <c r="K174" s="43" t="str">
        <f aca="false">IF(A174="","",SUM(B174:F174))</f>
        <v/>
      </c>
      <c r="L174" s="45" t="str">
        <f aca="false">IF(A174="","",YEAR(A174))</f>
        <v/>
      </c>
      <c r="M174" s="45" t="str">
        <f aca="false">IF(A174="","",COUNTIFS(MOVIMIENTOS!$B$4:$B$20000,A174,MOVIMIENTOS!$H$4:$H$20000,"Por revisar"))</f>
        <v/>
      </c>
      <c r="N174" s="45" t="str">
        <f aca="true">IF(A174="","",IF(A174&lt;DATE(YEAR(TODAY()),MONTH(TODAY()),1),1,0))</f>
        <v/>
      </c>
    </row>
    <row r="175" customFormat="false" ht="15" hidden="false" customHeight="false" outlineLevel="0" collapsed="false">
      <c r="G175" s="43" t="str">
        <f aca="false">IF(A175="","",SUMIFS(MOVIMIENTOS!$E$4:$E$20000,MOVIMIENTOS!$B$4:$B$20000,A175,MOVIMIENTOS!$H$4:$H$20000,"Ingreso")+SUMIFS(FLEXIBLE!$D$4:$D$200,FLEXIBLE!$F$4:$F$200,A175))</f>
        <v/>
      </c>
      <c r="H175" s="43" t="str">
        <f aca="false">IF(A175="","",-SUMIFS(MOVIMIENTOS!$E$4:$E$20000,MOVIMIENTOS!$B$4:$B$20000,A175,MOVIMIENTOS!$H$4:$H$20000,"Gasto")+SUMIFS(FLEXIBLE!$D$4:$D$200,FLEXIBLE!$F$4:$F$200,A175))</f>
        <v/>
      </c>
      <c r="I175" s="43" t="str">
        <f aca="false">IF(A175="","",G175-H175)</f>
        <v/>
      </c>
      <c r="J175" s="44" t="str">
        <f aca="false">IF(A175="","",IF(N175=0,"en curso",IF(N(G175)=0,"",I175/G175)))</f>
        <v/>
      </c>
      <c r="K175" s="43" t="str">
        <f aca="false">IF(A175="","",SUM(B175:F175))</f>
        <v/>
      </c>
      <c r="L175" s="45" t="str">
        <f aca="false">IF(A175="","",YEAR(A175))</f>
        <v/>
      </c>
      <c r="M175" s="45" t="str">
        <f aca="false">IF(A175="","",COUNTIFS(MOVIMIENTOS!$B$4:$B$20000,A175,MOVIMIENTOS!$H$4:$H$20000,"Por revisar"))</f>
        <v/>
      </c>
      <c r="N175" s="45" t="str">
        <f aca="true">IF(A175="","",IF(A175&lt;DATE(YEAR(TODAY()),MONTH(TODAY()),1),1,0))</f>
        <v/>
      </c>
    </row>
    <row r="176" customFormat="false" ht="15" hidden="false" customHeight="false" outlineLevel="0" collapsed="false">
      <c r="G176" s="43" t="str">
        <f aca="false">IF(A176="","",SUMIFS(MOVIMIENTOS!$E$4:$E$20000,MOVIMIENTOS!$B$4:$B$20000,A176,MOVIMIENTOS!$H$4:$H$20000,"Ingreso")+SUMIFS(FLEXIBLE!$D$4:$D$200,FLEXIBLE!$F$4:$F$200,A176))</f>
        <v/>
      </c>
      <c r="H176" s="43" t="str">
        <f aca="false">IF(A176="","",-SUMIFS(MOVIMIENTOS!$E$4:$E$20000,MOVIMIENTOS!$B$4:$B$20000,A176,MOVIMIENTOS!$H$4:$H$20000,"Gasto")+SUMIFS(FLEXIBLE!$D$4:$D$200,FLEXIBLE!$F$4:$F$200,A176))</f>
        <v/>
      </c>
      <c r="I176" s="43" t="str">
        <f aca="false">IF(A176="","",G176-H176)</f>
        <v/>
      </c>
      <c r="J176" s="44" t="str">
        <f aca="false">IF(A176="","",IF(N176=0,"en curso",IF(N(G176)=0,"",I176/G176)))</f>
        <v/>
      </c>
      <c r="K176" s="43" t="str">
        <f aca="false">IF(A176="","",SUM(B176:F176))</f>
        <v/>
      </c>
      <c r="L176" s="45" t="str">
        <f aca="false">IF(A176="","",YEAR(A176))</f>
        <v/>
      </c>
      <c r="M176" s="45" t="str">
        <f aca="false">IF(A176="","",COUNTIFS(MOVIMIENTOS!$B$4:$B$20000,A176,MOVIMIENTOS!$H$4:$H$20000,"Por revisar"))</f>
        <v/>
      </c>
      <c r="N176" s="45" t="str">
        <f aca="true">IF(A176="","",IF(A176&lt;DATE(YEAR(TODAY()),MONTH(TODAY()),1),1,0))</f>
        <v/>
      </c>
    </row>
    <row r="177" customFormat="false" ht="15" hidden="false" customHeight="false" outlineLevel="0" collapsed="false">
      <c r="G177" s="43" t="str">
        <f aca="false">IF(A177="","",SUMIFS(MOVIMIENTOS!$E$4:$E$20000,MOVIMIENTOS!$B$4:$B$20000,A177,MOVIMIENTOS!$H$4:$H$20000,"Ingreso")+SUMIFS(FLEXIBLE!$D$4:$D$200,FLEXIBLE!$F$4:$F$200,A177))</f>
        <v/>
      </c>
      <c r="H177" s="43" t="str">
        <f aca="false">IF(A177="","",-SUMIFS(MOVIMIENTOS!$E$4:$E$20000,MOVIMIENTOS!$B$4:$B$20000,A177,MOVIMIENTOS!$H$4:$H$20000,"Gasto")+SUMIFS(FLEXIBLE!$D$4:$D$200,FLEXIBLE!$F$4:$F$200,A177))</f>
        <v/>
      </c>
      <c r="I177" s="43" t="str">
        <f aca="false">IF(A177="","",G177-H177)</f>
        <v/>
      </c>
      <c r="J177" s="44" t="str">
        <f aca="false">IF(A177="","",IF(N177=0,"en curso",IF(N(G177)=0,"",I177/G177)))</f>
        <v/>
      </c>
      <c r="K177" s="43" t="str">
        <f aca="false">IF(A177="","",SUM(B177:F177))</f>
        <v/>
      </c>
      <c r="L177" s="45" t="str">
        <f aca="false">IF(A177="","",YEAR(A177))</f>
        <v/>
      </c>
      <c r="M177" s="45" t="str">
        <f aca="false">IF(A177="","",COUNTIFS(MOVIMIENTOS!$B$4:$B$20000,A177,MOVIMIENTOS!$H$4:$H$20000,"Por revisar"))</f>
        <v/>
      </c>
      <c r="N177" s="45" t="str">
        <f aca="true">IF(A177="","",IF(A177&lt;DATE(YEAR(TODAY()),MONTH(TODAY()),1),1,0))</f>
        <v/>
      </c>
    </row>
    <row r="178" customFormat="false" ht="15" hidden="false" customHeight="false" outlineLevel="0" collapsed="false">
      <c r="G178" s="43" t="str">
        <f aca="false">IF(A178="","",SUMIFS(MOVIMIENTOS!$E$4:$E$20000,MOVIMIENTOS!$B$4:$B$20000,A178,MOVIMIENTOS!$H$4:$H$20000,"Ingreso")+SUMIFS(FLEXIBLE!$D$4:$D$200,FLEXIBLE!$F$4:$F$200,A178))</f>
        <v/>
      </c>
      <c r="H178" s="43" t="str">
        <f aca="false">IF(A178="","",-SUMIFS(MOVIMIENTOS!$E$4:$E$20000,MOVIMIENTOS!$B$4:$B$20000,A178,MOVIMIENTOS!$H$4:$H$20000,"Gasto")+SUMIFS(FLEXIBLE!$D$4:$D$200,FLEXIBLE!$F$4:$F$200,A178))</f>
        <v/>
      </c>
      <c r="I178" s="43" t="str">
        <f aca="false">IF(A178="","",G178-H178)</f>
        <v/>
      </c>
      <c r="J178" s="44" t="str">
        <f aca="false">IF(A178="","",IF(N178=0,"en curso",IF(N(G178)=0,"",I178/G178)))</f>
        <v/>
      </c>
      <c r="K178" s="43" t="str">
        <f aca="false">IF(A178="","",SUM(B178:F178))</f>
        <v/>
      </c>
      <c r="L178" s="45" t="str">
        <f aca="false">IF(A178="","",YEAR(A178))</f>
        <v/>
      </c>
      <c r="M178" s="45" t="str">
        <f aca="false">IF(A178="","",COUNTIFS(MOVIMIENTOS!$B$4:$B$20000,A178,MOVIMIENTOS!$H$4:$H$20000,"Por revisar"))</f>
        <v/>
      </c>
      <c r="N178" s="45" t="str">
        <f aca="true">IF(A178="","",IF(A178&lt;DATE(YEAR(TODAY()),MONTH(TODAY()),1),1,0))</f>
        <v/>
      </c>
    </row>
    <row r="179" customFormat="false" ht="15" hidden="false" customHeight="false" outlineLevel="0" collapsed="false">
      <c r="G179" s="43" t="str">
        <f aca="false">IF(A179="","",SUMIFS(MOVIMIENTOS!$E$4:$E$20000,MOVIMIENTOS!$B$4:$B$20000,A179,MOVIMIENTOS!$H$4:$H$20000,"Ingreso")+SUMIFS(FLEXIBLE!$D$4:$D$200,FLEXIBLE!$F$4:$F$200,A179))</f>
        <v/>
      </c>
      <c r="H179" s="43" t="str">
        <f aca="false">IF(A179="","",-SUMIFS(MOVIMIENTOS!$E$4:$E$20000,MOVIMIENTOS!$B$4:$B$20000,A179,MOVIMIENTOS!$H$4:$H$20000,"Gasto")+SUMIFS(FLEXIBLE!$D$4:$D$200,FLEXIBLE!$F$4:$F$200,A179))</f>
        <v/>
      </c>
      <c r="I179" s="43" t="str">
        <f aca="false">IF(A179="","",G179-H179)</f>
        <v/>
      </c>
      <c r="J179" s="44" t="str">
        <f aca="false">IF(A179="","",IF(N179=0,"en curso",IF(N(G179)=0,"",I179/G179)))</f>
        <v/>
      </c>
      <c r="K179" s="43" t="str">
        <f aca="false">IF(A179="","",SUM(B179:F179))</f>
        <v/>
      </c>
      <c r="L179" s="45" t="str">
        <f aca="false">IF(A179="","",YEAR(A179))</f>
        <v/>
      </c>
      <c r="M179" s="45" t="str">
        <f aca="false">IF(A179="","",COUNTIFS(MOVIMIENTOS!$B$4:$B$20000,A179,MOVIMIENTOS!$H$4:$H$20000,"Por revisar"))</f>
        <v/>
      </c>
      <c r="N179" s="45" t="str">
        <f aca="true">IF(A179="","",IF(A179&lt;DATE(YEAR(TODAY()),MONTH(TODAY()),1),1,0))</f>
        <v/>
      </c>
    </row>
    <row r="180" customFormat="false" ht="15" hidden="false" customHeight="false" outlineLevel="0" collapsed="false">
      <c r="G180" s="43" t="str">
        <f aca="false">IF(A180="","",SUMIFS(MOVIMIENTOS!$E$4:$E$20000,MOVIMIENTOS!$B$4:$B$20000,A180,MOVIMIENTOS!$H$4:$H$20000,"Ingreso")+SUMIFS(FLEXIBLE!$D$4:$D$200,FLEXIBLE!$F$4:$F$200,A180))</f>
        <v/>
      </c>
      <c r="H180" s="43" t="str">
        <f aca="false">IF(A180="","",-SUMIFS(MOVIMIENTOS!$E$4:$E$20000,MOVIMIENTOS!$B$4:$B$20000,A180,MOVIMIENTOS!$H$4:$H$20000,"Gasto")+SUMIFS(FLEXIBLE!$D$4:$D$200,FLEXIBLE!$F$4:$F$200,A180))</f>
        <v/>
      </c>
      <c r="I180" s="43" t="str">
        <f aca="false">IF(A180="","",G180-H180)</f>
        <v/>
      </c>
      <c r="J180" s="44" t="str">
        <f aca="false">IF(A180="","",IF(N180=0,"en curso",IF(N(G180)=0,"",I180/G180)))</f>
        <v/>
      </c>
      <c r="K180" s="43" t="str">
        <f aca="false">IF(A180="","",SUM(B180:F180))</f>
        <v/>
      </c>
      <c r="L180" s="45" t="str">
        <f aca="false">IF(A180="","",YEAR(A180))</f>
        <v/>
      </c>
      <c r="M180" s="45" t="str">
        <f aca="false">IF(A180="","",COUNTIFS(MOVIMIENTOS!$B$4:$B$20000,A180,MOVIMIENTOS!$H$4:$H$20000,"Por revisar"))</f>
        <v/>
      </c>
      <c r="N180" s="45" t="str">
        <f aca="true">IF(A180="","",IF(A180&lt;DATE(YEAR(TODAY()),MONTH(TODAY()),1),1,0))</f>
        <v/>
      </c>
    </row>
    <row r="181" customFormat="false" ht="15" hidden="false" customHeight="false" outlineLevel="0" collapsed="false">
      <c r="G181" s="43" t="str">
        <f aca="false">IF(A181="","",SUMIFS(MOVIMIENTOS!$E$4:$E$20000,MOVIMIENTOS!$B$4:$B$20000,A181,MOVIMIENTOS!$H$4:$H$20000,"Ingreso")+SUMIFS(FLEXIBLE!$D$4:$D$200,FLEXIBLE!$F$4:$F$200,A181))</f>
        <v/>
      </c>
      <c r="H181" s="43" t="str">
        <f aca="false">IF(A181="","",-SUMIFS(MOVIMIENTOS!$E$4:$E$20000,MOVIMIENTOS!$B$4:$B$20000,A181,MOVIMIENTOS!$H$4:$H$20000,"Gasto")+SUMIFS(FLEXIBLE!$D$4:$D$200,FLEXIBLE!$F$4:$F$200,A181))</f>
        <v/>
      </c>
      <c r="I181" s="43" t="str">
        <f aca="false">IF(A181="","",G181-H181)</f>
        <v/>
      </c>
      <c r="J181" s="44" t="str">
        <f aca="false">IF(A181="","",IF(N181=0,"en curso",IF(N(G181)=0,"",I181/G181)))</f>
        <v/>
      </c>
      <c r="K181" s="43" t="str">
        <f aca="false">IF(A181="","",SUM(B181:F181))</f>
        <v/>
      </c>
      <c r="L181" s="45" t="str">
        <f aca="false">IF(A181="","",YEAR(A181))</f>
        <v/>
      </c>
      <c r="M181" s="45" t="str">
        <f aca="false">IF(A181="","",COUNTIFS(MOVIMIENTOS!$B$4:$B$20000,A181,MOVIMIENTOS!$H$4:$H$20000,"Por revisar"))</f>
        <v/>
      </c>
      <c r="N181" s="45" t="str">
        <f aca="true">IF(A181="","",IF(A181&lt;DATE(YEAR(TODAY()),MONTH(TODAY()),1),1,0))</f>
        <v/>
      </c>
    </row>
    <row r="182" customFormat="false" ht="15" hidden="false" customHeight="false" outlineLevel="0" collapsed="false">
      <c r="G182" s="43" t="str">
        <f aca="false">IF(A182="","",SUMIFS(MOVIMIENTOS!$E$4:$E$20000,MOVIMIENTOS!$B$4:$B$20000,A182,MOVIMIENTOS!$H$4:$H$20000,"Ingreso")+SUMIFS(FLEXIBLE!$D$4:$D$200,FLEXIBLE!$F$4:$F$200,A182))</f>
        <v/>
      </c>
      <c r="H182" s="43" t="str">
        <f aca="false">IF(A182="","",-SUMIFS(MOVIMIENTOS!$E$4:$E$20000,MOVIMIENTOS!$B$4:$B$20000,A182,MOVIMIENTOS!$H$4:$H$20000,"Gasto")+SUMIFS(FLEXIBLE!$D$4:$D$200,FLEXIBLE!$F$4:$F$200,A182))</f>
        <v/>
      </c>
      <c r="I182" s="43" t="str">
        <f aca="false">IF(A182="","",G182-H182)</f>
        <v/>
      </c>
      <c r="J182" s="44" t="str">
        <f aca="false">IF(A182="","",IF(N182=0,"en curso",IF(N(G182)=0,"",I182/G182)))</f>
        <v/>
      </c>
      <c r="K182" s="43" t="str">
        <f aca="false">IF(A182="","",SUM(B182:F182))</f>
        <v/>
      </c>
      <c r="L182" s="45" t="str">
        <f aca="false">IF(A182="","",YEAR(A182))</f>
        <v/>
      </c>
      <c r="M182" s="45" t="str">
        <f aca="false">IF(A182="","",COUNTIFS(MOVIMIENTOS!$B$4:$B$20000,A182,MOVIMIENTOS!$H$4:$H$20000,"Por revisar"))</f>
        <v/>
      </c>
      <c r="N182" s="45" t="str">
        <f aca="true">IF(A182="","",IF(A182&lt;DATE(YEAR(TODAY()),MONTH(TODAY()),1),1,0))</f>
        <v/>
      </c>
    </row>
    <row r="183" customFormat="false" ht="15" hidden="false" customHeight="false" outlineLevel="0" collapsed="false">
      <c r="G183" s="43" t="str">
        <f aca="false">IF(A183="","",SUMIFS(MOVIMIENTOS!$E$4:$E$20000,MOVIMIENTOS!$B$4:$B$20000,A183,MOVIMIENTOS!$H$4:$H$20000,"Ingreso")+SUMIFS(FLEXIBLE!$D$4:$D$200,FLEXIBLE!$F$4:$F$200,A183))</f>
        <v/>
      </c>
      <c r="H183" s="43" t="str">
        <f aca="false">IF(A183="","",-SUMIFS(MOVIMIENTOS!$E$4:$E$20000,MOVIMIENTOS!$B$4:$B$20000,A183,MOVIMIENTOS!$H$4:$H$20000,"Gasto")+SUMIFS(FLEXIBLE!$D$4:$D$200,FLEXIBLE!$F$4:$F$200,A183))</f>
        <v/>
      </c>
      <c r="I183" s="43" t="str">
        <f aca="false">IF(A183="","",G183-H183)</f>
        <v/>
      </c>
      <c r="J183" s="44" t="str">
        <f aca="false">IF(A183="","",IF(N183=0,"en curso",IF(N(G183)=0,"",I183/G183)))</f>
        <v/>
      </c>
      <c r="K183" s="43" t="str">
        <f aca="false">IF(A183="","",SUM(B183:F183))</f>
        <v/>
      </c>
      <c r="L183" s="45" t="str">
        <f aca="false">IF(A183="","",YEAR(A183))</f>
        <v/>
      </c>
      <c r="M183" s="45" t="str">
        <f aca="false">IF(A183="","",COUNTIFS(MOVIMIENTOS!$B$4:$B$20000,A183,MOVIMIENTOS!$H$4:$H$20000,"Por revisar"))</f>
        <v/>
      </c>
      <c r="N183" s="45" t="str">
        <f aca="true">IF(A183="","",IF(A183&lt;DATE(YEAR(TODAY()),MONTH(TODAY()),1),1,0))</f>
        <v/>
      </c>
    </row>
    <row r="184" customFormat="false" ht="15" hidden="false" customHeight="false" outlineLevel="0" collapsed="false">
      <c r="G184" s="43" t="str">
        <f aca="false">IF(A184="","",SUMIFS(MOVIMIENTOS!$E$4:$E$20000,MOVIMIENTOS!$B$4:$B$20000,A184,MOVIMIENTOS!$H$4:$H$20000,"Ingreso")+SUMIFS(FLEXIBLE!$D$4:$D$200,FLEXIBLE!$F$4:$F$200,A184))</f>
        <v/>
      </c>
      <c r="H184" s="43" t="str">
        <f aca="false">IF(A184="","",-SUMIFS(MOVIMIENTOS!$E$4:$E$20000,MOVIMIENTOS!$B$4:$B$20000,A184,MOVIMIENTOS!$H$4:$H$20000,"Gasto")+SUMIFS(FLEXIBLE!$D$4:$D$200,FLEXIBLE!$F$4:$F$200,A184))</f>
        <v/>
      </c>
      <c r="I184" s="43" t="str">
        <f aca="false">IF(A184="","",G184-H184)</f>
        <v/>
      </c>
      <c r="J184" s="44" t="str">
        <f aca="false">IF(A184="","",IF(N184=0,"en curso",IF(N(G184)=0,"",I184/G184)))</f>
        <v/>
      </c>
      <c r="K184" s="43" t="str">
        <f aca="false">IF(A184="","",SUM(B184:F184))</f>
        <v/>
      </c>
      <c r="L184" s="45" t="str">
        <f aca="false">IF(A184="","",YEAR(A184))</f>
        <v/>
      </c>
      <c r="M184" s="45" t="str">
        <f aca="false">IF(A184="","",COUNTIFS(MOVIMIENTOS!$B$4:$B$20000,A184,MOVIMIENTOS!$H$4:$H$20000,"Por revisar"))</f>
        <v/>
      </c>
      <c r="N184" s="45" t="str">
        <f aca="true">IF(A184="","",IF(A184&lt;DATE(YEAR(TODAY()),MONTH(TODAY()),1),1,0))</f>
        <v/>
      </c>
    </row>
    <row r="185" customFormat="false" ht="15" hidden="false" customHeight="false" outlineLevel="0" collapsed="false">
      <c r="G185" s="43" t="str">
        <f aca="false">IF(A185="","",SUMIFS(MOVIMIENTOS!$E$4:$E$20000,MOVIMIENTOS!$B$4:$B$20000,A185,MOVIMIENTOS!$H$4:$H$20000,"Ingreso")+SUMIFS(FLEXIBLE!$D$4:$D$200,FLEXIBLE!$F$4:$F$200,A185))</f>
        <v/>
      </c>
      <c r="H185" s="43" t="str">
        <f aca="false">IF(A185="","",-SUMIFS(MOVIMIENTOS!$E$4:$E$20000,MOVIMIENTOS!$B$4:$B$20000,A185,MOVIMIENTOS!$H$4:$H$20000,"Gasto")+SUMIFS(FLEXIBLE!$D$4:$D$200,FLEXIBLE!$F$4:$F$200,A185))</f>
        <v/>
      </c>
      <c r="I185" s="43" t="str">
        <f aca="false">IF(A185="","",G185-H185)</f>
        <v/>
      </c>
      <c r="J185" s="44" t="str">
        <f aca="false">IF(A185="","",IF(N185=0,"en curso",IF(N(G185)=0,"",I185/G185)))</f>
        <v/>
      </c>
      <c r="K185" s="43" t="str">
        <f aca="false">IF(A185="","",SUM(B185:F185))</f>
        <v/>
      </c>
      <c r="L185" s="45" t="str">
        <f aca="false">IF(A185="","",YEAR(A185))</f>
        <v/>
      </c>
      <c r="M185" s="45" t="str">
        <f aca="false">IF(A185="","",COUNTIFS(MOVIMIENTOS!$B$4:$B$20000,A185,MOVIMIENTOS!$H$4:$H$20000,"Por revisar"))</f>
        <v/>
      </c>
      <c r="N185" s="45" t="str">
        <f aca="true">IF(A185="","",IF(A185&lt;DATE(YEAR(TODAY()),MONTH(TODAY()),1),1,0))</f>
        <v/>
      </c>
    </row>
    <row r="186" customFormat="false" ht="15" hidden="false" customHeight="false" outlineLevel="0" collapsed="false">
      <c r="G186" s="43" t="str">
        <f aca="false">IF(A186="","",SUMIFS(MOVIMIENTOS!$E$4:$E$20000,MOVIMIENTOS!$B$4:$B$20000,A186,MOVIMIENTOS!$H$4:$H$20000,"Ingreso")+SUMIFS(FLEXIBLE!$D$4:$D$200,FLEXIBLE!$F$4:$F$200,A186))</f>
        <v/>
      </c>
      <c r="H186" s="43" t="str">
        <f aca="false">IF(A186="","",-SUMIFS(MOVIMIENTOS!$E$4:$E$20000,MOVIMIENTOS!$B$4:$B$20000,A186,MOVIMIENTOS!$H$4:$H$20000,"Gasto")+SUMIFS(FLEXIBLE!$D$4:$D$200,FLEXIBLE!$F$4:$F$200,A186))</f>
        <v/>
      </c>
      <c r="I186" s="43" t="str">
        <f aca="false">IF(A186="","",G186-H186)</f>
        <v/>
      </c>
      <c r="J186" s="44" t="str">
        <f aca="false">IF(A186="","",IF(N186=0,"en curso",IF(N(G186)=0,"",I186/G186)))</f>
        <v/>
      </c>
      <c r="K186" s="43" t="str">
        <f aca="false">IF(A186="","",SUM(B186:F186))</f>
        <v/>
      </c>
      <c r="L186" s="45" t="str">
        <f aca="false">IF(A186="","",YEAR(A186))</f>
        <v/>
      </c>
      <c r="M186" s="45" t="str">
        <f aca="false">IF(A186="","",COUNTIFS(MOVIMIENTOS!$B$4:$B$20000,A186,MOVIMIENTOS!$H$4:$H$20000,"Por revisar"))</f>
        <v/>
      </c>
      <c r="N186" s="45" t="str">
        <f aca="true">IF(A186="","",IF(A186&lt;DATE(YEAR(TODAY()),MONTH(TODAY()),1),1,0))</f>
        <v/>
      </c>
    </row>
    <row r="187" customFormat="false" ht="15" hidden="false" customHeight="false" outlineLevel="0" collapsed="false">
      <c r="G187" s="43" t="str">
        <f aca="false">IF(A187="","",SUMIFS(MOVIMIENTOS!$E$4:$E$20000,MOVIMIENTOS!$B$4:$B$20000,A187,MOVIMIENTOS!$H$4:$H$20000,"Ingreso")+SUMIFS(FLEXIBLE!$D$4:$D$200,FLEXIBLE!$F$4:$F$200,A187))</f>
        <v/>
      </c>
      <c r="H187" s="43" t="str">
        <f aca="false">IF(A187="","",-SUMIFS(MOVIMIENTOS!$E$4:$E$20000,MOVIMIENTOS!$B$4:$B$20000,A187,MOVIMIENTOS!$H$4:$H$20000,"Gasto")+SUMIFS(FLEXIBLE!$D$4:$D$200,FLEXIBLE!$F$4:$F$200,A187))</f>
        <v/>
      </c>
      <c r="I187" s="43" t="str">
        <f aca="false">IF(A187="","",G187-H187)</f>
        <v/>
      </c>
      <c r="J187" s="44" t="str">
        <f aca="false">IF(A187="","",IF(N187=0,"en curso",IF(N(G187)=0,"",I187/G187)))</f>
        <v/>
      </c>
      <c r="K187" s="43" t="str">
        <f aca="false">IF(A187="","",SUM(B187:F187))</f>
        <v/>
      </c>
      <c r="L187" s="45" t="str">
        <f aca="false">IF(A187="","",YEAR(A187))</f>
        <v/>
      </c>
      <c r="M187" s="45" t="str">
        <f aca="false">IF(A187="","",COUNTIFS(MOVIMIENTOS!$B$4:$B$20000,A187,MOVIMIENTOS!$H$4:$H$20000,"Por revisar"))</f>
        <v/>
      </c>
      <c r="N187" s="45" t="str">
        <f aca="true">IF(A187="","",IF(A187&lt;DATE(YEAR(TODAY()),MONTH(TODAY()),1),1,0))</f>
        <v/>
      </c>
    </row>
    <row r="188" customFormat="false" ht="15" hidden="false" customHeight="false" outlineLevel="0" collapsed="false">
      <c r="G188" s="43" t="str">
        <f aca="false">IF(A188="","",SUMIFS(MOVIMIENTOS!$E$4:$E$20000,MOVIMIENTOS!$B$4:$B$20000,A188,MOVIMIENTOS!$H$4:$H$20000,"Ingreso")+SUMIFS(FLEXIBLE!$D$4:$D$200,FLEXIBLE!$F$4:$F$200,A188))</f>
        <v/>
      </c>
      <c r="H188" s="43" t="str">
        <f aca="false">IF(A188="","",-SUMIFS(MOVIMIENTOS!$E$4:$E$20000,MOVIMIENTOS!$B$4:$B$20000,A188,MOVIMIENTOS!$H$4:$H$20000,"Gasto")+SUMIFS(FLEXIBLE!$D$4:$D$200,FLEXIBLE!$F$4:$F$200,A188))</f>
        <v/>
      </c>
      <c r="I188" s="43" t="str">
        <f aca="false">IF(A188="","",G188-H188)</f>
        <v/>
      </c>
      <c r="J188" s="44" t="str">
        <f aca="false">IF(A188="","",IF(N188=0,"en curso",IF(N(G188)=0,"",I188/G188)))</f>
        <v/>
      </c>
      <c r="K188" s="43" t="str">
        <f aca="false">IF(A188="","",SUM(B188:F188))</f>
        <v/>
      </c>
      <c r="L188" s="45" t="str">
        <f aca="false">IF(A188="","",YEAR(A188))</f>
        <v/>
      </c>
      <c r="M188" s="45" t="str">
        <f aca="false">IF(A188="","",COUNTIFS(MOVIMIENTOS!$B$4:$B$20000,A188,MOVIMIENTOS!$H$4:$H$20000,"Por revisar"))</f>
        <v/>
      </c>
      <c r="N188" s="45" t="str">
        <f aca="true">IF(A188="","",IF(A188&lt;DATE(YEAR(TODAY()),MONTH(TODAY()),1),1,0))</f>
        <v/>
      </c>
    </row>
    <row r="189" customFormat="false" ht="15" hidden="false" customHeight="false" outlineLevel="0" collapsed="false">
      <c r="G189" s="43" t="str">
        <f aca="false">IF(A189="","",SUMIFS(MOVIMIENTOS!$E$4:$E$20000,MOVIMIENTOS!$B$4:$B$20000,A189,MOVIMIENTOS!$H$4:$H$20000,"Ingreso")+SUMIFS(FLEXIBLE!$D$4:$D$200,FLEXIBLE!$F$4:$F$200,A189))</f>
        <v/>
      </c>
      <c r="H189" s="43" t="str">
        <f aca="false">IF(A189="","",-SUMIFS(MOVIMIENTOS!$E$4:$E$20000,MOVIMIENTOS!$B$4:$B$20000,A189,MOVIMIENTOS!$H$4:$H$20000,"Gasto")+SUMIFS(FLEXIBLE!$D$4:$D$200,FLEXIBLE!$F$4:$F$200,A189))</f>
        <v/>
      </c>
      <c r="I189" s="43" t="str">
        <f aca="false">IF(A189="","",G189-H189)</f>
        <v/>
      </c>
      <c r="J189" s="44" t="str">
        <f aca="false">IF(A189="","",IF(N189=0,"en curso",IF(N(G189)=0,"",I189/G189)))</f>
        <v/>
      </c>
      <c r="K189" s="43" t="str">
        <f aca="false">IF(A189="","",SUM(B189:F189))</f>
        <v/>
      </c>
      <c r="L189" s="45" t="str">
        <f aca="false">IF(A189="","",YEAR(A189))</f>
        <v/>
      </c>
      <c r="M189" s="45" t="str">
        <f aca="false">IF(A189="","",COUNTIFS(MOVIMIENTOS!$B$4:$B$20000,A189,MOVIMIENTOS!$H$4:$H$20000,"Por revisar"))</f>
        <v/>
      </c>
      <c r="N189" s="45" t="str">
        <f aca="true">IF(A189="","",IF(A189&lt;DATE(YEAR(TODAY()),MONTH(TODAY()),1),1,0))</f>
        <v/>
      </c>
    </row>
    <row r="190" customFormat="false" ht="15" hidden="false" customHeight="false" outlineLevel="0" collapsed="false">
      <c r="G190" s="43" t="str">
        <f aca="false">IF(A190="","",SUMIFS(MOVIMIENTOS!$E$4:$E$20000,MOVIMIENTOS!$B$4:$B$20000,A190,MOVIMIENTOS!$H$4:$H$20000,"Ingreso")+SUMIFS(FLEXIBLE!$D$4:$D$200,FLEXIBLE!$F$4:$F$200,A190))</f>
        <v/>
      </c>
      <c r="H190" s="43" t="str">
        <f aca="false">IF(A190="","",-SUMIFS(MOVIMIENTOS!$E$4:$E$20000,MOVIMIENTOS!$B$4:$B$20000,A190,MOVIMIENTOS!$H$4:$H$20000,"Gasto")+SUMIFS(FLEXIBLE!$D$4:$D$200,FLEXIBLE!$F$4:$F$200,A190))</f>
        <v/>
      </c>
      <c r="I190" s="43" t="str">
        <f aca="false">IF(A190="","",G190-H190)</f>
        <v/>
      </c>
      <c r="J190" s="44" t="str">
        <f aca="false">IF(A190="","",IF(N190=0,"en curso",IF(N(G190)=0,"",I190/G190)))</f>
        <v/>
      </c>
      <c r="K190" s="43" t="str">
        <f aca="false">IF(A190="","",SUM(B190:F190))</f>
        <v/>
      </c>
      <c r="L190" s="45" t="str">
        <f aca="false">IF(A190="","",YEAR(A190))</f>
        <v/>
      </c>
      <c r="M190" s="45" t="str">
        <f aca="false">IF(A190="","",COUNTIFS(MOVIMIENTOS!$B$4:$B$20000,A190,MOVIMIENTOS!$H$4:$H$20000,"Por revisar"))</f>
        <v/>
      </c>
      <c r="N190" s="45" t="str">
        <f aca="true">IF(A190="","",IF(A190&lt;DATE(YEAR(TODAY()),MONTH(TODAY()),1),1,0))</f>
        <v/>
      </c>
    </row>
    <row r="191" customFormat="false" ht="15" hidden="false" customHeight="false" outlineLevel="0" collapsed="false">
      <c r="G191" s="43" t="str">
        <f aca="false">IF(A191="","",SUMIFS(MOVIMIENTOS!$E$4:$E$20000,MOVIMIENTOS!$B$4:$B$20000,A191,MOVIMIENTOS!$H$4:$H$20000,"Ingreso")+SUMIFS(FLEXIBLE!$D$4:$D$200,FLEXIBLE!$F$4:$F$200,A191))</f>
        <v/>
      </c>
      <c r="H191" s="43" t="str">
        <f aca="false">IF(A191="","",-SUMIFS(MOVIMIENTOS!$E$4:$E$20000,MOVIMIENTOS!$B$4:$B$20000,A191,MOVIMIENTOS!$H$4:$H$20000,"Gasto")+SUMIFS(FLEXIBLE!$D$4:$D$200,FLEXIBLE!$F$4:$F$200,A191))</f>
        <v/>
      </c>
      <c r="I191" s="43" t="str">
        <f aca="false">IF(A191="","",G191-H191)</f>
        <v/>
      </c>
      <c r="J191" s="44" t="str">
        <f aca="false">IF(A191="","",IF(N191=0,"en curso",IF(N(G191)=0,"",I191/G191)))</f>
        <v/>
      </c>
      <c r="K191" s="43" t="str">
        <f aca="false">IF(A191="","",SUM(B191:F191))</f>
        <v/>
      </c>
      <c r="L191" s="45" t="str">
        <f aca="false">IF(A191="","",YEAR(A191))</f>
        <v/>
      </c>
      <c r="M191" s="45" t="str">
        <f aca="false">IF(A191="","",COUNTIFS(MOVIMIENTOS!$B$4:$B$20000,A191,MOVIMIENTOS!$H$4:$H$20000,"Por revisar"))</f>
        <v/>
      </c>
      <c r="N191" s="45" t="str">
        <f aca="true">IF(A191="","",IF(A191&lt;DATE(YEAR(TODAY()),MONTH(TODAY()),1),1,0))</f>
        <v/>
      </c>
    </row>
    <row r="192" customFormat="false" ht="15" hidden="false" customHeight="false" outlineLevel="0" collapsed="false">
      <c r="G192" s="43" t="str">
        <f aca="false">IF(A192="","",SUMIFS(MOVIMIENTOS!$E$4:$E$20000,MOVIMIENTOS!$B$4:$B$20000,A192,MOVIMIENTOS!$H$4:$H$20000,"Ingreso")+SUMIFS(FLEXIBLE!$D$4:$D$200,FLEXIBLE!$F$4:$F$200,A192))</f>
        <v/>
      </c>
      <c r="H192" s="43" t="str">
        <f aca="false">IF(A192="","",-SUMIFS(MOVIMIENTOS!$E$4:$E$20000,MOVIMIENTOS!$B$4:$B$20000,A192,MOVIMIENTOS!$H$4:$H$20000,"Gasto")+SUMIFS(FLEXIBLE!$D$4:$D$200,FLEXIBLE!$F$4:$F$200,A192))</f>
        <v/>
      </c>
      <c r="I192" s="43" t="str">
        <f aca="false">IF(A192="","",G192-H192)</f>
        <v/>
      </c>
      <c r="J192" s="44" t="str">
        <f aca="false">IF(A192="","",IF(N192=0,"en curso",IF(N(G192)=0,"",I192/G192)))</f>
        <v/>
      </c>
      <c r="K192" s="43" t="str">
        <f aca="false">IF(A192="","",SUM(B192:F192))</f>
        <v/>
      </c>
      <c r="L192" s="45" t="str">
        <f aca="false">IF(A192="","",YEAR(A192))</f>
        <v/>
      </c>
      <c r="M192" s="45" t="str">
        <f aca="false">IF(A192="","",COUNTIFS(MOVIMIENTOS!$B$4:$B$20000,A192,MOVIMIENTOS!$H$4:$H$20000,"Por revisar"))</f>
        <v/>
      </c>
      <c r="N192" s="45" t="str">
        <f aca="true">IF(A192="","",IF(A192&lt;DATE(YEAR(TODAY()),MONTH(TODAY()),1),1,0))</f>
        <v/>
      </c>
    </row>
    <row r="193" customFormat="false" ht="15" hidden="false" customHeight="false" outlineLevel="0" collapsed="false">
      <c r="G193" s="43" t="str">
        <f aca="false">IF(A193="","",SUMIFS(MOVIMIENTOS!$E$4:$E$20000,MOVIMIENTOS!$B$4:$B$20000,A193,MOVIMIENTOS!$H$4:$H$20000,"Ingreso")+SUMIFS(FLEXIBLE!$D$4:$D$200,FLEXIBLE!$F$4:$F$200,A193))</f>
        <v/>
      </c>
      <c r="H193" s="43" t="str">
        <f aca="false">IF(A193="","",-SUMIFS(MOVIMIENTOS!$E$4:$E$20000,MOVIMIENTOS!$B$4:$B$20000,A193,MOVIMIENTOS!$H$4:$H$20000,"Gasto")+SUMIFS(FLEXIBLE!$D$4:$D$200,FLEXIBLE!$F$4:$F$200,A193))</f>
        <v/>
      </c>
      <c r="I193" s="43" t="str">
        <f aca="false">IF(A193="","",G193-H193)</f>
        <v/>
      </c>
      <c r="J193" s="44" t="str">
        <f aca="false">IF(A193="","",IF(N193=0,"en curso",IF(N(G193)=0,"",I193/G193)))</f>
        <v/>
      </c>
      <c r="K193" s="43" t="str">
        <f aca="false">IF(A193="","",SUM(B193:F193))</f>
        <v/>
      </c>
      <c r="L193" s="45" t="str">
        <f aca="false">IF(A193="","",YEAR(A193))</f>
        <v/>
      </c>
      <c r="M193" s="45" t="str">
        <f aca="false">IF(A193="","",COUNTIFS(MOVIMIENTOS!$B$4:$B$20000,A193,MOVIMIENTOS!$H$4:$H$20000,"Por revisar"))</f>
        <v/>
      </c>
      <c r="N193" s="45" t="str">
        <f aca="true">IF(A193="","",IF(A193&lt;DATE(YEAR(TODAY()),MONTH(TODAY()),1),1,0))</f>
        <v/>
      </c>
    </row>
    <row r="194" customFormat="false" ht="15" hidden="false" customHeight="false" outlineLevel="0" collapsed="false">
      <c r="G194" s="43" t="str">
        <f aca="false">IF(A194="","",SUMIFS(MOVIMIENTOS!$E$4:$E$20000,MOVIMIENTOS!$B$4:$B$20000,A194,MOVIMIENTOS!$H$4:$H$20000,"Ingreso")+SUMIFS(FLEXIBLE!$D$4:$D$200,FLEXIBLE!$F$4:$F$200,A194))</f>
        <v/>
      </c>
      <c r="H194" s="43" t="str">
        <f aca="false">IF(A194="","",-SUMIFS(MOVIMIENTOS!$E$4:$E$20000,MOVIMIENTOS!$B$4:$B$20000,A194,MOVIMIENTOS!$H$4:$H$20000,"Gasto")+SUMIFS(FLEXIBLE!$D$4:$D$200,FLEXIBLE!$F$4:$F$200,A194))</f>
        <v/>
      </c>
      <c r="I194" s="43" t="str">
        <f aca="false">IF(A194="","",G194-H194)</f>
        <v/>
      </c>
      <c r="J194" s="44" t="str">
        <f aca="false">IF(A194="","",IF(N194=0,"en curso",IF(N(G194)=0,"",I194/G194)))</f>
        <v/>
      </c>
      <c r="K194" s="43" t="str">
        <f aca="false">IF(A194="","",SUM(B194:F194))</f>
        <v/>
      </c>
      <c r="L194" s="45" t="str">
        <f aca="false">IF(A194="","",YEAR(A194))</f>
        <v/>
      </c>
      <c r="M194" s="45" t="str">
        <f aca="false">IF(A194="","",COUNTIFS(MOVIMIENTOS!$B$4:$B$20000,A194,MOVIMIENTOS!$H$4:$H$20000,"Por revisar"))</f>
        <v/>
      </c>
      <c r="N194" s="45" t="str">
        <f aca="true">IF(A194="","",IF(A194&lt;DATE(YEAR(TODAY()),MONTH(TODAY()),1),1,0))</f>
        <v/>
      </c>
    </row>
    <row r="195" customFormat="false" ht="15" hidden="false" customHeight="false" outlineLevel="0" collapsed="false">
      <c r="G195" s="43" t="str">
        <f aca="false">IF(A195="","",SUMIFS(MOVIMIENTOS!$E$4:$E$20000,MOVIMIENTOS!$B$4:$B$20000,A195,MOVIMIENTOS!$H$4:$H$20000,"Ingreso")+SUMIFS(FLEXIBLE!$D$4:$D$200,FLEXIBLE!$F$4:$F$200,A195))</f>
        <v/>
      </c>
      <c r="H195" s="43" t="str">
        <f aca="false">IF(A195="","",-SUMIFS(MOVIMIENTOS!$E$4:$E$20000,MOVIMIENTOS!$B$4:$B$20000,A195,MOVIMIENTOS!$H$4:$H$20000,"Gasto")+SUMIFS(FLEXIBLE!$D$4:$D$200,FLEXIBLE!$F$4:$F$200,A195))</f>
        <v/>
      </c>
      <c r="I195" s="43" t="str">
        <f aca="false">IF(A195="","",G195-H195)</f>
        <v/>
      </c>
      <c r="J195" s="44" t="str">
        <f aca="false">IF(A195="","",IF(N195=0,"en curso",IF(N(G195)=0,"",I195/G195)))</f>
        <v/>
      </c>
      <c r="K195" s="43" t="str">
        <f aca="false">IF(A195="","",SUM(B195:F195))</f>
        <v/>
      </c>
      <c r="L195" s="45" t="str">
        <f aca="false">IF(A195="","",YEAR(A195))</f>
        <v/>
      </c>
      <c r="M195" s="45" t="str">
        <f aca="false">IF(A195="","",COUNTIFS(MOVIMIENTOS!$B$4:$B$20000,A195,MOVIMIENTOS!$H$4:$H$20000,"Por revisar"))</f>
        <v/>
      </c>
      <c r="N195" s="45" t="str">
        <f aca="true">IF(A195="","",IF(A195&lt;DATE(YEAR(TODAY()),MONTH(TODAY()),1),1,0))</f>
        <v/>
      </c>
    </row>
    <row r="196" customFormat="false" ht="15" hidden="false" customHeight="false" outlineLevel="0" collapsed="false">
      <c r="G196" s="43" t="str">
        <f aca="false">IF(A196="","",SUMIFS(MOVIMIENTOS!$E$4:$E$20000,MOVIMIENTOS!$B$4:$B$20000,A196,MOVIMIENTOS!$H$4:$H$20000,"Ingreso")+SUMIFS(FLEXIBLE!$D$4:$D$200,FLEXIBLE!$F$4:$F$200,A196))</f>
        <v/>
      </c>
      <c r="H196" s="43" t="str">
        <f aca="false">IF(A196="","",-SUMIFS(MOVIMIENTOS!$E$4:$E$20000,MOVIMIENTOS!$B$4:$B$20000,A196,MOVIMIENTOS!$H$4:$H$20000,"Gasto")+SUMIFS(FLEXIBLE!$D$4:$D$200,FLEXIBLE!$F$4:$F$200,A196))</f>
        <v/>
      </c>
      <c r="I196" s="43" t="str">
        <f aca="false">IF(A196="","",G196-H196)</f>
        <v/>
      </c>
      <c r="J196" s="44" t="str">
        <f aca="false">IF(A196="","",IF(N196=0,"en curso",IF(N(G196)=0,"",I196/G196)))</f>
        <v/>
      </c>
      <c r="K196" s="43" t="str">
        <f aca="false">IF(A196="","",SUM(B196:F196))</f>
        <v/>
      </c>
      <c r="L196" s="45" t="str">
        <f aca="false">IF(A196="","",YEAR(A196))</f>
        <v/>
      </c>
      <c r="M196" s="45" t="str">
        <f aca="false">IF(A196="","",COUNTIFS(MOVIMIENTOS!$B$4:$B$20000,A196,MOVIMIENTOS!$H$4:$H$20000,"Por revisar"))</f>
        <v/>
      </c>
      <c r="N196" s="45" t="str">
        <f aca="true">IF(A196="","",IF(A196&lt;DATE(YEAR(TODAY()),MONTH(TODAY()),1),1,0))</f>
        <v/>
      </c>
    </row>
    <row r="197" customFormat="false" ht="15" hidden="false" customHeight="false" outlineLevel="0" collapsed="false">
      <c r="G197" s="43" t="str">
        <f aca="false">IF(A197="","",SUMIFS(MOVIMIENTOS!$E$4:$E$20000,MOVIMIENTOS!$B$4:$B$20000,A197,MOVIMIENTOS!$H$4:$H$20000,"Ingreso")+SUMIFS(FLEXIBLE!$D$4:$D$200,FLEXIBLE!$F$4:$F$200,A197))</f>
        <v/>
      </c>
      <c r="H197" s="43" t="str">
        <f aca="false">IF(A197="","",-SUMIFS(MOVIMIENTOS!$E$4:$E$20000,MOVIMIENTOS!$B$4:$B$20000,A197,MOVIMIENTOS!$H$4:$H$20000,"Gasto")+SUMIFS(FLEXIBLE!$D$4:$D$200,FLEXIBLE!$F$4:$F$200,A197))</f>
        <v/>
      </c>
      <c r="I197" s="43" t="str">
        <f aca="false">IF(A197="","",G197-H197)</f>
        <v/>
      </c>
      <c r="J197" s="44" t="str">
        <f aca="false">IF(A197="","",IF(N197=0,"en curso",IF(N(G197)=0,"",I197/G197)))</f>
        <v/>
      </c>
      <c r="K197" s="43" t="str">
        <f aca="false">IF(A197="","",SUM(B197:F197))</f>
        <v/>
      </c>
      <c r="L197" s="45" t="str">
        <f aca="false">IF(A197="","",YEAR(A197))</f>
        <v/>
      </c>
      <c r="M197" s="45" t="str">
        <f aca="false">IF(A197="","",COUNTIFS(MOVIMIENTOS!$B$4:$B$20000,A197,MOVIMIENTOS!$H$4:$H$20000,"Por revisar"))</f>
        <v/>
      </c>
      <c r="N197" s="45" t="str">
        <f aca="true">IF(A197="","",IF(A197&lt;DATE(YEAR(TODAY()),MONTH(TODAY()),1),1,0))</f>
        <v/>
      </c>
    </row>
    <row r="198" customFormat="false" ht="15" hidden="false" customHeight="false" outlineLevel="0" collapsed="false">
      <c r="G198" s="43" t="str">
        <f aca="false">IF(A198="","",SUMIFS(MOVIMIENTOS!$E$4:$E$20000,MOVIMIENTOS!$B$4:$B$20000,A198,MOVIMIENTOS!$H$4:$H$20000,"Ingreso")+SUMIFS(FLEXIBLE!$D$4:$D$200,FLEXIBLE!$F$4:$F$200,A198))</f>
        <v/>
      </c>
      <c r="H198" s="43" t="str">
        <f aca="false">IF(A198="","",-SUMIFS(MOVIMIENTOS!$E$4:$E$20000,MOVIMIENTOS!$B$4:$B$20000,A198,MOVIMIENTOS!$H$4:$H$20000,"Gasto")+SUMIFS(FLEXIBLE!$D$4:$D$200,FLEXIBLE!$F$4:$F$200,A198))</f>
        <v/>
      </c>
      <c r="I198" s="43" t="str">
        <f aca="false">IF(A198="","",G198-H198)</f>
        <v/>
      </c>
      <c r="J198" s="44" t="str">
        <f aca="false">IF(A198="","",IF(N198=0,"en curso",IF(N(G198)=0,"",I198/G198)))</f>
        <v/>
      </c>
      <c r="K198" s="43" t="str">
        <f aca="false">IF(A198="","",SUM(B198:F198))</f>
        <v/>
      </c>
      <c r="L198" s="45" t="str">
        <f aca="false">IF(A198="","",YEAR(A198))</f>
        <v/>
      </c>
      <c r="M198" s="45" t="str">
        <f aca="false">IF(A198="","",COUNTIFS(MOVIMIENTOS!$B$4:$B$20000,A198,MOVIMIENTOS!$H$4:$H$20000,"Por revisar"))</f>
        <v/>
      </c>
      <c r="N198" s="45" t="str">
        <f aca="true">IF(A198="","",IF(A198&lt;DATE(YEAR(TODAY()),MONTH(TODAY()),1),1,0))</f>
        <v/>
      </c>
    </row>
    <row r="199" customFormat="false" ht="15" hidden="false" customHeight="false" outlineLevel="0" collapsed="false">
      <c r="G199" s="43" t="str">
        <f aca="false">IF(A199="","",SUMIFS(MOVIMIENTOS!$E$4:$E$20000,MOVIMIENTOS!$B$4:$B$20000,A199,MOVIMIENTOS!$H$4:$H$20000,"Ingreso")+SUMIFS(FLEXIBLE!$D$4:$D$200,FLEXIBLE!$F$4:$F$200,A199))</f>
        <v/>
      </c>
      <c r="H199" s="43" t="str">
        <f aca="false">IF(A199="","",-SUMIFS(MOVIMIENTOS!$E$4:$E$20000,MOVIMIENTOS!$B$4:$B$20000,A199,MOVIMIENTOS!$H$4:$H$20000,"Gasto")+SUMIFS(FLEXIBLE!$D$4:$D$200,FLEXIBLE!$F$4:$F$200,A199))</f>
        <v/>
      </c>
      <c r="I199" s="43" t="str">
        <f aca="false">IF(A199="","",G199-H199)</f>
        <v/>
      </c>
      <c r="J199" s="44" t="str">
        <f aca="false">IF(A199="","",IF(N199=0,"en curso",IF(N(G199)=0,"",I199/G199)))</f>
        <v/>
      </c>
      <c r="K199" s="43" t="str">
        <f aca="false">IF(A199="","",SUM(B199:F199))</f>
        <v/>
      </c>
      <c r="L199" s="45" t="str">
        <f aca="false">IF(A199="","",YEAR(A199))</f>
        <v/>
      </c>
      <c r="M199" s="45" t="str">
        <f aca="false">IF(A199="","",COUNTIFS(MOVIMIENTOS!$B$4:$B$20000,A199,MOVIMIENTOS!$H$4:$H$20000,"Por revisar"))</f>
        <v/>
      </c>
      <c r="N199" s="45" t="str">
        <f aca="true">IF(A199="","",IF(A199&lt;DATE(YEAR(TODAY()),MONTH(TODAY()),1),1,0))</f>
        <v/>
      </c>
    </row>
    <row r="200" customFormat="false" ht="15" hidden="false" customHeight="false" outlineLevel="0" collapsed="false">
      <c r="G200" s="43" t="str">
        <f aca="false">IF(A200="","",SUMIFS(MOVIMIENTOS!$E$4:$E$20000,MOVIMIENTOS!$B$4:$B$20000,A200,MOVIMIENTOS!$H$4:$H$20000,"Ingreso")+SUMIFS(FLEXIBLE!$D$4:$D$200,FLEXIBLE!$F$4:$F$200,A200))</f>
        <v/>
      </c>
      <c r="H200" s="43" t="str">
        <f aca="false">IF(A200="","",-SUMIFS(MOVIMIENTOS!$E$4:$E$20000,MOVIMIENTOS!$B$4:$B$20000,A200,MOVIMIENTOS!$H$4:$H$20000,"Gasto")+SUMIFS(FLEXIBLE!$D$4:$D$200,FLEXIBLE!$F$4:$F$200,A200))</f>
        <v/>
      </c>
      <c r="I200" s="43" t="str">
        <f aca="false">IF(A200="","",G200-H200)</f>
        <v/>
      </c>
      <c r="J200" s="44" t="str">
        <f aca="false">IF(A200="","",IF(N200=0,"en curso",IF(N(G200)=0,"",I200/G200)))</f>
        <v/>
      </c>
      <c r="K200" s="43" t="str">
        <f aca="false">IF(A200="","",SUM(B200:F200))</f>
        <v/>
      </c>
      <c r="L200" s="45" t="str">
        <f aca="false">IF(A200="","",YEAR(A200))</f>
        <v/>
      </c>
      <c r="M200" s="45" t="str">
        <f aca="false">IF(A200="","",COUNTIFS(MOVIMIENTOS!$B$4:$B$20000,A200,MOVIMIENTOS!$H$4:$H$20000,"Por revisar"))</f>
        <v/>
      </c>
      <c r="N200" s="45" t="str">
        <f aca="true">IF(A200="","",IF(A200&lt;DATE(YEAR(TODAY()),MONTH(TODAY()),1),1,0))</f>
        <v/>
      </c>
    </row>
    <row r="201" customFormat="false" ht="15" hidden="false" customHeight="false" outlineLevel="0" collapsed="false">
      <c r="G201" s="43" t="str">
        <f aca="false">IF(A201="","",SUMIFS(MOVIMIENTOS!$E$4:$E$20000,MOVIMIENTOS!$B$4:$B$20000,A201,MOVIMIENTOS!$H$4:$H$20000,"Ingreso")+SUMIFS(FLEXIBLE!$D$4:$D$200,FLEXIBLE!$F$4:$F$200,A201))</f>
        <v/>
      </c>
      <c r="H201" s="43" t="str">
        <f aca="false">IF(A201="","",-SUMIFS(MOVIMIENTOS!$E$4:$E$20000,MOVIMIENTOS!$B$4:$B$20000,A201,MOVIMIENTOS!$H$4:$H$20000,"Gasto")+SUMIFS(FLEXIBLE!$D$4:$D$200,FLEXIBLE!$F$4:$F$200,A201))</f>
        <v/>
      </c>
      <c r="I201" s="43" t="str">
        <f aca="false">IF(A201="","",G201-H201)</f>
        <v/>
      </c>
      <c r="J201" s="44" t="str">
        <f aca="false">IF(A201="","",IF(N201=0,"en curso",IF(N(G201)=0,"",I201/G201)))</f>
        <v/>
      </c>
      <c r="K201" s="43" t="str">
        <f aca="false">IF(A201="","",SUM(B201:F201))</f>
        <v/>
      </c>
      <c r="L201" s="45" t="str">
        <f aca="false">IF(A201="","",YEAR(A201))</f>
        <v/>
      </c>
      <c r="M201" s="45" t="str">
        <f aca="false">IF(A201="","",COUNTIFS(MOVIMIENTOS!$B$4:$B$20000,A201,MOVIMIENTOS!$H$4:$H$20000,"Por revisar"))</f>
        <v/>
      </c>
      <c r="N201" s="45" t="str">
        <f aca="true">IF(A201="","",IF(A201&lt;DATE(YEAR(TODAY()),MONTH(TODAY()),1),1,0))</f>
        <v/>
      </c>
    </row>
    <row r="202" customFormat="false" ht="15" hidden="false" customHeight="false" outlineLevel="0" collapsed="false">
      <c r="G202" s="43" t="str">
        <f aca="false">IF(A202="","",SUMIFS(MOVIMIENTOS!$E$4:$E$20000,MOVIMIENTOS!$B$4:$B$20000,A202,MOVIMIENTOS!$H$4:$H$20000,"Ingreso")+SUMIFS(FLEXIBLE!$D$4:$D$200,FLEXIBLE!$F$4:$F$200,A202))</f>
        <v/>
      </c>
      <c r="H202" s="43" t="str">
        <f aca="false">IF(A202="","",-SUMIFS(MOVIMIENTOS!$E$4:$E$20000,MOVIMIENTOS!$B$4:$B$20000,A202,MOVIMIENTOS!$H$4:$H$20000,"Gasto")+SUMIFS(FLEXIBLE!$D$4:$D$200,FLEXIBLE!$F$4:$F$200,A202))</f>
        <v/>
      </c>
      <c r="I202" s="43" t="str">
        <f aca="false">IF(A202="","",G202-H202)</f>
        <v/>
      </c>
      <c r="J202" s="44" t="str">
        <f aca="false">IF(A202="","",IF(N202=0,"en curso",IF(N(G202)=0,"",I202/G202)))</f>
        <v/>
      </c>
      <c r="K202" s="43" t="str">
        <f aca="false">IF(A202="","",SUM(B202:F202))</f>
        <v/>
      </c>
      <c r="L202" s="45" t="str">
        <f aca="false">IF(A202="","",YEAR(A202))</f>
        <v/>
      </c>
      <c r="M202" s="45" t="str">
        <f aca="false">IF(A202="","",COUNTIFS(MOVIMIENTOS!$B$4:$B$20000,A202,MOVIMIENTOS!$H$4:$H$20000,"Por revisar"))</f>
        <v/>
      </c>
      <c r="N202" s="45" t="str">
        <f aca="true">IF(A202="","",IF(A202&lt;DATE(YEAR(TODAY()),MONTH(TODAY()),1),1,0))</f>
        <v/>
      </c>
    </row>
    <row r="203" customFormat="false" ht="15" hidden="false" customHeight="false" outlineLevel="0" collapsed="false">
      <c r="G203" s="43" t="str">
        <f aca="false">IF(A203="","",SUMIFS(MOVIMIENTOS!$E$4:$E$20000,MOVIMIENTOS!$B$4:$B$20000,A203,MOVIMIENTOS!$H$4:$H$20000,"Ingreso")+SUMIFS(FLEXIBLE!$D$4:$D$200,FLEXIBLE!$F$4:$F$200,A203))</f>
        <v/>
      </c>
      <c r="H203" s="43" t="str">
        <f aca="false">IF(A203="","",-SUMIFS(MOVIMIENTOS!$E$4:$E$20000,MOVIMIENTOS!$B$4:$B$20000,A203,MOVIMIENTOS!$H$4:$H$20000,"Gasto")+SUMIFS(FLEXIBLE!$D$4:$D$200,FLEXIBLE!$F$4:$F$200,A203))</f>
        <v/>
      </c>
      <c r="I203" s="43" t="str">
        <f aca="false">IF(A203="","",G203-H203)</f>
        <v/>
      </c>
      <c r="J203" s="44" t="str">
        <f aca="false">IF(A203="","",IF(N203=0,"en curso",IF(N(G203)=0,"",I203/G203)))</f>
        <v/>
      </c>
      <c r="K203" s="43" t="str">
        <f aca="false">IF(A203="","",SUM(B203:F203))</f>
        <v/>
      </c>
      <c r="L203" s="45" t="str">
        <f aca="false">IF(A203="","",YEAR(A203))</f>
        <v/>
      </c>
      <c r="M203" s="45" t="str">
        <f aca="false">IF(A203="","",COUNTIFS(MOVIMIENTOS!$B$4:$B$20000,A203,MOVIMIENTOS!$H$4:$H$20000,"Por revisar"))</f>
        <v/>
      </c>
      <c r="N203" s="45" t="str">
        <f aca="true">IF(A203="","",IF(A203&lt;DATE(YEAR(TODAY()),MONTH(TODAY()),1),1,0))</f>
        <v/>
      </c>
    </row>
    <row r="204" customFormat="false" ht="15" hidden="false" customHeight="false" outlineLevel="0" collapsed="false">
      <c r="G204" s="43" t="str">
        <f aca="false">IF(A204="","",SUMIFS(MOVIMIENTOS!$E$4:$E$20000,MOVIMIENTOS!$B$4:$B$20000,A204,MOVIMIENTOS!$H$4:$H$20000,"Ingreso")+SUMIFS(FLEXIBLE!$D$4:$D$200,FLEXIBLE!$F$4:$F$200,A204))</f>
        <v/>
      </c>
      <c r="H204" s="43" t="str">
        <f aca="false">IF(A204="","",-SUMIFS(MOVIMIENTOS!$E$4:$E$20000,MOVIMIENTOS!$B$4:$B$20000,A204,MOVIMIENTOS!$H$4:$H$20000,"Gasto")+SUMIFS(FLEXIBLE!$D$4:$D$200,FLEXIBLE!$F$4:$F$200,A204))</f>
        <v/>
      </c>
      <c r="I204" s="43" t="str">
        <f aca="false">IF(A204="","",G204-H204)</f>
        <v/>
      </c>
      <c r="J204" s="44" t="str">
        <f aca="false">IF(A204="","",IF(N204=0,"en curso",IF(N(G204)=0,"",I204/G204)))</f>
        <v/>
      </c>
      <c r="K204" s="43" t="str">
        <f aca="false">IF(A204="","",SUM(B204:F204))</f>
        <v/>
      </c>
      <c r="L204" s="45" t="str">
        <f aca="false">IF(A204="","",YEAR(A204))</f>
        <v/>
      </c>
      <c r="M204" s="45" t="str">
        <f aca="false">IF(A204="","",COUNTIFS(MOVIMIENTOS!$B$4:$B$20000,A204,MOVIMIENTOS!$H$4:$H$20000,"Por revisar"))</f>
        <v/>
      </c>
      <c r="N204" s="45" t="str">
        <f aca="true">IF(A204="","",IF(A204&lt;DATE(YEAR(TODAY()),MONTH(TODAY()),1),1,0))</f>
        <v/>
      </c>
    </row>
    <row r="205" customFormat="false" ht="15" hidden="false" customHeight="false" outlineLevel="0" collapsed="false">
      <c r="G205" s="43" t="str">
        <f aca="false">IF(A205="","",SUMIFS(MOVIMIENTOS!$E$4:$E$20000,MOVIMIENTOS!$B$4:$B$20000,A205,MOVIMIENTOS!$H$4:$H$20000,"Ingreso")+SUMIFS(FLEXIBLE!$D$4:$D$200,FLEXIBLE!$F$4:$F$200,A205))</f>
        <v/>
      </c>
      <c r="H205" s="43" t="str">
        <f aca="false">IF(A205="","",-SUMIFS(MOVIMIENTOS!$E$4:$E$20000,MOVIMIENTOS!$B$4:$B$20000,A205,MOVIMIENTOS!$H$4:$H$20000,"Gasto")+SUMIFS(FLEXIBLE!$D$4:$D$200,FLEXIBLE!$F$4:$F$200,A205))</f>
        <v/>
      </c>
      <c r="I205" s="43" t="str">
        <f aca="false">IF(A205="","",G205-H205)</f>
        <v/>
      </c>
      <c r="J205" s="44" t="str">
        <f aca="false">IF(A205="","",IF(N205=0,"en curso",IF(N(G205)=0,"",I205/G205)))</f>
        <v/>
      </c>
      <c r="K205" s="43" t="str">
        <f aca="false">IF(A205="","",SUM(B205:F205))</f>
        <v/>
      </c>
      <c r="L205" s="45" t="str">
        <f aca="false">IF(A205="","",YEAR(A205))</f>
        <v/>
      </c>
      <c r="M205" s="45" t="str">
        <f aca="false">IF(A205="","",COUNTIFS(MOVIMIENTOS!$B$4:$B$20000,A205,MOVIMIENTOS!$H$4:$H$20000,"Por revisar"))</f>
        <v/>
      </c>
      <c r="N205" s="45" t="str">
        <f aca="true">IF(A205="","",IF(A205&lt;DATE(YEAR(TODAY()),MONTH(TODAY()),1),1,0))</f>
        <v/>
      </c>
    </row>
    <row r="206" customFormat="false" ht="15" hidden="false" customHeight="false" outlineLevel="0" collapsed="false">
      <c r="G206" s="43" t="str">
        <f aca="false">IF(A206="","",SUMIFS(MOVIMIENTOS!$E$4:$E$20000,MOVIMIENTOS!$B$4:$B$20000,A206,MOVIMIENTOS!$H$4:$H$20000,"Ingreso")+SUMIFS(FLEXIBLE!$D$4:$D$200,FLEXIBLE!$F$4:$F$200,A206))</f>
        <v/>
      </c>
      <c r="H206" s="43" t="str">
        <f aca="false">IF(A206="","",-SUMIFS(MOVIMIENTOS!$E$4:$E$20000,MOVIMIENTOS!$B$4:$B$20000,A206,MOVIMIENTOS!$H$4:$H$20000,"Gasto")+SUMIFS(FLEXIBLE!$D$4:$D$200,FLEXIBLE!$F$4:$F$200,A206))</f>
        <v/>
      </c>
      <c r="I206" s="43" t="str">
        <f aca="false">IF(A206="","",G206-H206)</f>
        <v/>
      </c>
      <c r="J206" s="44" t="str">
        <f aca="false">IF(A206="","",IF(N206=0,"en curso",IF(N(G206)=0,"",I206/G206)))</f>
        <v/>
      </c>
      <c r="K206" s="43" t="str">
        <f aca="false">IF(A206="","",SUM(B206:F206))</f>
        <v/>
      </c>
      <c r="L206" s="45" t="str">
        <f aca="false">IF(A206="","",YEAR(A206))</f>
        <v/>
      </c>
      <c r="M206" s="45" t="str">
        <f aca="false">IF(A206="","",COUNTIFS(MOVIMIENTOS!$B$4:$B$20000,A206,MOVIMIENTOS!$H$4:$H$20000,"Por revisar"))</f>
        <v/>
      </c>
      <c r="N206" s="45" t="str">
        <f aca="true">IF(A206="","",IF(A206&lt;DATE(YEAR(TODAY()),MONTH(TODAY()),1),1,0))</f>
        <v/>
      </c>
    </row>
    <row r="207" customFormat="false" ht="15" hidden="false" customHeight="false" outlineLevel="0" collapsed="false">
      <c r="G207" s="43" t="str">
        <f aca="false">IF(A207="","",SUMIFS(MOVIMIENTOS!$E$4:$E$20000,MOVIMIENTOS!$B$4:$B$20000,A207,MOVIMIENTOS!$H$4:$H$20000,"Ingreso")+SUMIFS(FLEXIBLE!$D$4:$D$200,FLEXIBLE!$F$4:$F$200,A207))</f>
        <v/>
      </c>
      <c r="H207" s="43" t="str">
        <f aca="false">IF(A207="","",-SUMIFS(MOVIMIENTOS!$E$4:$E$20000,MOVIMIENTOS!$B$4:$B$20000,A207,MOVIMIENTOS!$H$4:$H$20000,"Gasto")+SUMIFS(FLEXIBLE!$D$4:$D$200,FLEXIBLE!$F$4:$F$200,A207))</f>
        <v/>
      </c>
      <c r="I207" s="43" t="str">
        <f aca="false">IF(A207="","",G207-H207)</f>
        <v/>
      </c>
      <c r="J207" s="44" t="str">
        <f aca="false">IF(A207="","",IF(N207=0,"en curso",IF(N(G207)=0,"",I207/G207)))</f>
        <v/>
      </c>
      <c r="K207" s="43" t="str">
        <f aca="false">IF(A207="","",SUM(B207:F207))</f>
        <v/>
      </c>
      <c r="L207" s="45" t="str">
        <f aca="false">IF(A207="","",YEAR(A207))</f>
        <v/>
      </c>
      <c r="M207" s="45" t="str">
        <f aca="false">IF(A207="","",COUNTIFS(MOVIMIENTOS!$B$4:$B$20000,A207,MOVIMIENTOS!$H$4:$H$20000,"Por revisar"))</f>
        <v/>
      </c>
      <c r="N207" s="45" t="str">
        <f aca="true">IF(A207="","",IF(A207&lt;DATE(YEAR(TODAY()),MONTH(TODAY()),1),1,0))</f>
        <v/>
      </c>
    </row>
    <row r="208" customFormat="false" ht="15" hidden="false" customHeight="false" outlineLevel="0" collapsed="false">
      <c r="G208" s="43" t="str">
        <f aca="false">IF(A208="","",SUMIFS(MOVIMIENTOS!$E$4:$E$20000,MOVIMIENTOS!$B$4:$B$20000,A208,MOVIMIENTOS!$H$4:$H$20000,"Ingreso")+SUMIFS(FLEXIBLE!$D$4:$D$200,FLEXIBLE!$F$4:$F$200,A208))</f>
        <v/>
      </c>
      <c r="H208" s="43" t="str">
        <f aca="false">IF(A208="","",-SUMIFS(MOVIMIENTOS!$E$4:$E$20000,MOVIMIENTOS!$B$4:$B$20000,A208,MOVIMIENTOS!$H$4:$H$20000,"Gasto")+SUMIFS(FLEXIBLE!$D$4:$D$200,FLEXIBLE!$F$4:$F$200,A208))</f>
        <v/>
      </c>
      <c r="I208" s="43" t="str">
        <f aca="false">IF(A208="","",G208-H208)</f>
        <v/>
      </c>
      <c r="J208" s="44" t="str">
        <f aca="false">IF(A208="","",IF(N208=0,"en curso",IF(N(G208)=0,"",I208/G208)))</f>
        <v/>
      </c>
      <c r="K208" s="43" t="str">
        <f aca="false">IF(A208="","",SUM(B208:F208))</f>
        <v/>
      </c>
      <c r="L208" s="45" t="str">
        <f aca="false">IF(A208="","",YEAR(A208))</f>
        <v/>
      </c>
      <c r="M208" s="45" t="str">
        <f aca="false">IF(A208="","",COUNTIFS(MOVIMIENTOS!$B$4:$B$20000,A208,MOVIMIENTOS!$H$4:$H$20000,"Por revisar"))</f>
        <v/>
      </c>
      <c r="N208" s="45" t="str">
        <f aca="true">IF(A208="","",IF(A208&lt;DATE(YEAR(TODAY()),MONTH(TODAY()),1),1,0))</f>
        <v/>
      </c>
    </row>
    <row r="209" customFormat="false" ht="15" hidden="false" customHeight="false" outlineLevel="0" collapsed="false">
      <c r="G209" s="43" t="str">
        <f aca="false">IF(A209="","",SUMIFS(MOVIMIENTOS!$E$4:$E$20000,MOVIMIENTOS!$B$4:$B$20000,A209,MOVIMIENTOS!$H$4:$H$20000,"Ingreso")+SUMIFS(FLEXIBLE!$D$4:$D$200,FLEXIBLE!$F$4:$F$200,A209))</f>
        <v/>
      </c>
      <c r="H209" s="43" t="str">
        <f aca="false">IF(A209="","",-SUMIFS(MOVIMIENTOS!$E$4:$E$20000,MOVIMIENTOS!$B$4:$B$20000,A209,MOVIMIENTOS!$H$4:$H$20000,"Gasto")+SUMIFS(FLEXIBLE!$D$4:$D$200,FLEXIBLE!$F$4:$F$200,A209))</f>
        <v/>
      </c>
      <c r="I209" s="43" t="str">
        <f aca="false">IF(A209="","",G209-H209)</f>
        <v/>
      </c>
      <c r="J209" s="44" t="str">
        <f aca="false">IF(A209="","",IF(N209=0,"en curso",IF(N(G209)=0,"",I209/G209)))</f>
        <v/>
      </c>
      <c r="K209" s="43" t="str">
        <f aca="false">IF(A209="","",SUM(B209:F209))</f>
        <v/>
      </c>
      <c r="L209" s="45" t="str">
        <f aca="false">IF(A209="","",YEAR(A209))</f>
        <v/>
      </c>
      <c r="M209" s="45" t="str">
        <f aca="false">IF(A209="","",COUNTIFS(MOVIMIENTOS!$B$4:$B$20000,A209,MOVIMIENTOS!$H$4:$H$20000,"Por revisar"))</f>
        <v/>
      </c>
      <c r="N209" s="45" t="str">
        <f aca="true">IF(A209="","",IF(A209&lt;DATE(YEAR(TODAY()),MONTH(TODAY()),1),1,0))</f>
        <v/>
      </c>
    </row>
    <row r="210" customFormat="false" ht="15" hidden="false" customHeight="false" outlineLevel="0" collapsed="false">
      <c r="G210" s="43" t="str">
        <f aca="false">IF(A210="","",SUMIFS(MOVIMIENTOS!$E$4:$E$20000,MOVIMIENTOS!$B$4:$B$20000,A210,MOVIMIENTOS!$H$4:$H$20000,"Ingreso")+SUMIFS(FLEXIBLE!$D$4:$D$200,FLEXIBLE!$F$4:$F$200,A210))</f>
        <v/>
      </c>
      <c r="H210" s="43" t="str">
        <f aca="false">IF(A210="","",-SUMIFS(MOVIMIENTOS!$E$4:$E$20000,MOVIMIENTOS!$B$4:$B$20000,A210,MOVIMIENTOS!$H$4:$H$20000,"Gasto")+SUMIFS(FLEXIBLE!$D$4:$D$200,FLEXIBLE!$F$4:$F$200,A210))</f>
        <v/>
      </c>
      <c r="I210" s="43" t="str">
        <f aca="false">IF(A210="","",G210-H210)</f>
        <v/>
      </c>
      <c r="J210" s="44" t="str">
        <f aca="false">IF(A210="","",IF(N210=0,"en curso",IF(N(G210)=0,"",I210/G210)))</f>
        <v/>
      </c>
      <c r="K210" s="43" t="str">
        <f aca="false">IF(A210="","",SUM(B210:F210))</f>
        <v/>
      </c>
      <c r="L210" s="45" t="str">
        <f aca="false">IF(A210="","",YEAR(A210))</f>
        <v/>
      </c>
      <c r="M210" s="45" t="str">
        <f aca="false">IF(A210="","",COUNTIFS(MOVIMIENTOS!$B$4:$B$20000,A210,MOVIMIENTOS!$H$4:$H$20000,"Por revisar"))</f>
        <v/>
      </c>
      <c r="N210" s="45" t="str">
        <f aca="true">IF(A210="","",IF(A210&lt;DATE(YEAR(TODAY()),MONTH(TODAY()),1),1,0))</f>
        <v/>
      </c>
    </row>
    <row r="211" customFormat="false" ht="15" hidden="false" customHeight="false" outlineLevel="0" collapsed="false">
      <c r="G211" s="43" t="str">
        <f aca="false">IF(A211="","",SUMIFS(MOVIMIENTOS!$E$4:$E$20000,MOVIMIENTOS!$B$4:$B$20000,A211,MOVIMIENTOS!$H$4:$H$20000,"Ingreso")+SUMIFS(FLEXIBLE!$D$4:$D$200,FLEXIBLE!$F$4:$F$200,A211))</f>
        <v/>
      </c>
      <c r="H211" s="43" t="str">
        <f aca="false">IF(A211="","",-SUMIFS(MOVIMIENTOS!$E$4:$E$20000,MOVIMIENTOS!$B$4:$B$20000,A211,MOVIMIENTOS!$H$4:$H$20000,"Gasto")+SUMIFS(FLEXIBLE!$D$4:$D$200,FLEXIBLE!$F$4:$F$200,A211))</f>
        <v/>
      </c>
      <c r="I211" s="43" t="str">
        <f aca="false">IF(A211="","",G211-H211)</f>
        <v/>
      </c>
      <c r="J211" s="44" t="str">
        <f aca="false">IF(A211="","",IF(N211=0,"en curso",IF(N(G211)=0,"",I211/G211)))</f>
        <v/>
      </c>
      <c r="K211" s="43" t="str">
        <f aca="false">IF(A211="","",SUM(B211:F211))</f>
        <v/>
      </c>
      <c r="L211" s="45" t="str">
        <f aca="false">IF(A211="","",YEAR(A211))</f>
        <v/>
      </c>
      <c r="M211" s="45" t="str">
        <f aca="false">IF(A211="","",COUNTIFS(MOVIMIENTOS!$B$4:$B$20000,A211,MOVIMIENTOS!$H$4:$H$20000,"Por revisar"))</f>
        <v/>
      </c>
      <c r="N211" s="45" t="str">
        <f aca="true">IF(A211="","",IF(A211&lt;DATE(YEAR(TODAY()),MONTH(TODAY()),1),1,0))</f>
        <v/>
      </c>
    </row>
    <row r="212" customFormat="false" ht="15" hidden="false" customHeight="false" outlineLevel="0" collapsed="false">
      <c r="G212" s="43" t="str">
        <f aca="false">IF(A212="","",SUMIFS(MOVIMIENTOS!$E$4:$E$20000,MOVIMIENTOS!$B$4:$B$20000,A212,MOVIMIENTOS!$H$4:$H$20000,"Ingreso")+SUMIFS(FLEXIBLE!$D$4:$D$200,FLEXIBLE!$F$4:$F$200,A212))</f>
        <v/>
      </c>
      <c r="H212" s="43" t="str">
        <f aca="false">IF(A212="","",-SUMIFS(MOVIMIENTOS!$E$4:$E$20000,MOVIMIENTOS!$B$4:$B$20000,A212,MOVIMIENTOS!$H$4:$H$20000,"Gasto")+SUMIFS(FLEXIBLE!$D$4:$D$200,FLEXIBLE!$F$4:$F$200,A212))</f>
        <v/>
      </c>
      <c r="I212" s="43" t="str">
        <f aca="false">IF(A212="","",G212-H212)</f>
        <v/>
      </c>
      <c r="J212" s="44" t="str">
        <f aca="false">IF(A212="","",IF(N212=0,"en curso",IF(N(G212)=0,"",I212/G212)))</f>
        <v/>
      </c>
      <c r="K212" s="43" t="str">
        <f aca="false">IF(A212="","",SUM(B212:F212))</f>
        <v/>
      </c>
      <c r="L212" s="45" t="str">
        <f aca="false">IF(A212="","",YEAR(A212))</f>
        <v/>
      </c>
      <c r="M212" s="45" t="str">
        <f aca="false">IF(A212="","",COUNTIFS(MOVIMIENTOS!$B$4:$B$20000,A212,MOVIMIENTOS!$H$4:$H$20000,"Por revisar"))</f>
        <v/>
      </c>
      <c r="N212" s="45" t="str">
        <f aca="true">IF(A212="","",IF(A212&lt;DATE(YEAR(TODAY()),MONTH(TODAY()),1),1,0))</f>
        <v/>
      </c>
    </row>
    <row r="213" customFormat="false" ht="15" hidden="false" customHeight="false" outlineLevel="0" collapsed="false">
      <c r="G213" s="43" t="str">
        <f aca="false">IF(A213="","",SUMIFS(MOVIMIENTOS!$E$4:$E$20000,MOVIMIENTOS!$B$4:$B$20000,A213,MOVIMIENTOS!$H$4:$H$20000,"Ingreso")+SUMIFS(FLEXIBLE!$D$4:$D$200,FLEXIBLE!$F$4:$F$200,A213))</f>
        <v/>
      </c>
      <c r="H213" s="43" t="str">
        <f aca="false">IF(A213="","",-SUMIFS(MOVIMIENTOS!$E$4:$E$20000,MOVIMIENTOS!$B$4:$B$20000,A213,MOVIMIENTOS!$H$4:$H$20000,"Gasto")+SUMIFS(FLEXIBLE!$D$4:$D$200,FLEXIBLE!$F$4:$F$200,A213))</f>
        <v/>
      </c>
      <c r="I213" s="43" t="str">
        <f aca="false">IF(A213="","",G213-H213)</f>
        <v/>
      </c>
      <c r="J213" s="44" t="str">
        <f aca="false">IF(A213="","",IF(N213=0,"en curso",IF(N(G213)=0,"",I213/G213)))</f>
        <v/>
      </c>
      <c r="K213" s="43" t="str">
        <f aca="false">IF(A213="","",SUM(B213:F213))</f>
        <v/>
      </c>
      <c r="L213" s="45" t="str">
        <f aca="false">IF(A213="","",YEAR(A213))</f>
        <v/>
      </c>
      <c r="M213" s="45" t="str">
        <f aca="false">IF(A213="","",COUNTIFS(MOVIMIENTOS!$B$4:$B$20000,A213,MOVIMIENTOS!$H$4:$H$20000,"Por revisar"))</f>
        <v/>
      </c>
      <c r="N213" s="45" t="str">
        <f aca="true">IF(A213="","",IF(A213&lt;DATE(YEAR(TODAY()),MONTH(TODAY()),1),1,0))</f>
        <v/>
      </c>
    </row>
    <row r="214" customFormat="false" ht="15" hidden="false" customHeight="false" outlineLevel="0" collapsed="false">
      <c r="G214" s="43" t="str">
        <f aca="false">IF(A214="","",SUMIFS(MOVIMIENTOS!$E$4:$E$20000,MOVIMIENTOS!$B$4:$B$20000,A214,MOVIMIENTOS!$H$4:$H$20000,"Ingreso")+SUMIFS(FLEXIBLE!$D$4:$D$200,FLEXIBLE!$F$4:$F$200,A214))</f>
        <v/>
      </c>
      <c r="H214" s="43" t="str">
        <f aca="false">IF(A214="","",-SUMIFS(MOVIMIENTOS!$E$4:$E$20000,MOVIMIENTOS!$B$4:$B$20000,A214,MOVIMIENTOS!$H$4:$H$20000,"Gasto")+SUMIFS(FLEXIBLE!$D$4:$D$200,FLEXIBLE!$F$4:$F$200,A214))</f>
        <v/>
      </c>
      <c r="I214" s="43" t="str">
        <f aca="false">IF(A214="","",G214-H214)</f>
        <v/>
      </c>
      <c r="J214" s="44" t="str">
        <f aca="false">IF(A214="","",IF(N214=0,"en curso",IF(N(G214)=0,"",I214/G214)))</f>
        <v/>
      </c>
      <c r="K214" s="43" t="str">
        <f aca="false">IF(A214="","",SUM(B214:F214))</f>
        <v/>
      </c>
      <c r="L214" s="45" t="str">
        <f aca="false">IF(A214="","",YEAR(A214))</f>
        <v/>
      </c>
      <c r="M214" s="45" t="str">
        <f aca="false">IF(A214="","",COUNTIFS(MOVIMIENTOS!$B$4:$B$20000,A214,MOVIMIENTOS!$H$4:$H$20000,"Por revisar"))</f>
        <v/>
      </c>
      <c r="N214" s="45" t="str">
        <f aca="true">IF(A214="","",IF(A214&lt;DATE(YEAR(TODAY()),MONTH(TODAY()),1),1,0))</f>
        <v/>
      </c>
    </row>
    <row r="215" customFormat="false" ht="15" hidden="false" customHeight="false" outlineLevel="0" collapsed="false">
      <c r="G215" s="43" t="str">
        <f aca="false">IF(A215="","",SUMIFS(MOVIMIENTOS!$E$4:$E$20000,MOVIMIENTOS!$B$4:$B$20000,A215,MOVIMIENTOS!$H$4:$H$20000,"Ingreso")+SUMIFS(FLEXIBLE!$D$4:$D$200,FLEXIBLE!$F$4:$F$200,A215))</f>
        <v/>
      </c>
      <c r="H215" s="43" t="str">
        <f aca="false">IF(A215="","",-SUMIFS(MOVIMIENTOS!$E$4:$E$20000,MOVIMIENTOS!$B$4:$B$20000,A215,MOVIMIENTOS!$H$4:$H$20000,"Gasto")+SUMIFS(FLEXIBLE!$D$4:$D$200,FLEXIBLE!$F$4:$F$200,A215))</f>
        <v/>
      </c>
      <c r="I215" s="43" t="str">
        <f aca="false">IF(A215="","",G215-H215)</f>
        <v/>
      </c>
      <c r="J215" s="44" t="str">
        <f aca="false">IF(A215="","",IF(N215=0,"en curso",IF(N(G215)=0,"",I215/G215)))</f>
        <v/>
      </c>
      <c r="K215" s="43" t="str">
        <f aca="false">IF(A215="","",SUM(B215:F215))</f>
        <v/>
      </c>
      <c r="L215" s="45" t="str">
        <f aca="false">IF(A215="","",YEAR(A215))</f>
        <v/>
      </c>
      <c r="M215" s="45" t="str">
        <f aca="false">IF(A215="","",COUNTIFS(MOVIMIENTOS!$B$4:$B$20000,A215,MOVIMIENTOS!$H$4:$H$20000,"Por revisar"))</f>
        <v/>
      </c>
      <c r="N215" s="45" t="str">
        <f aca="true">IF(A215="","",IF(A215&lt;DATE(YEAR(TODAY()),MONTH(TODAY()),1),1,0))</f>
        <v/>
      </c>
    </row>
    <row r="216" customFormat="false" ht="15" hidden="false" customHeight="false" outlineLevel="0" collapsed="false">
      <c r="G216" s="43" t="str">
        <f aca="false">IF(A216="","",SUMIFS(MOVIMIENTOS!$E$4:$E$20000,MOVIMIENTOS!$B$4:$B$20000,A216,MOVIMIENTOS!$H$4:$H$20000,"Ingreso")+SUMIFS(FLEXIBLE!$D$4:$D$200,FLEXIBLE!$F$4:$F$200,A216))</f>
        <v/>
      </c>
      <c r="H216" s="43" t="str">
        <f aca="false">IF(A216="","",-SUMIFS(MOVIMIENTOS!$E$4:$E$20000,MOVIMIENTOS!$B$4:$B$20000,A216,MOVIMIENTOS!$H$4:$H$20000,"Gasto")+SUMIFS(FLEXIBLE!$D$4:$D$200,FLEXIBLE!$F$4:$F$200,A216))</f>
        <v/>
      </c>
      <c r="I216" s="43" t="str">
        <f aca="false">IF(A216="","",G216-H216)</f>
        <v/>
      </c>
      <c r="J216" s="44" t="str">
        <f aca="false">IF(A216="","",IF(N216=0,"en curso",IF(N(G216)=0,"",I216/G216)))</f>
        <v/>
      </c>
      <c r="K216" s="43" t="str">
        <f aca="false">IF(A216="","",SUM(B216:F216))</f>
        <v/>
      </c>
      <c r="L216" s="45" t="str">
        <f aca="false">IF(A216="","",YEAR(A216))</f>
        <v/>
      </c>
      <c r="M216" s="45" t="str">
        <f aca="false">IF(A216="","",COUNTIFS(MOVIMIENTOS!$B$4:$B$20000,A216,MOVIMIENTOS!$H$4:$H$20000,"Por revisar"))</f>
        <v/>
      </c>
      <c r="N216" s="45" t="str">
        <f aca="true">IF(A216="","",IF(A216&lt;DATE(YEAR(TODAY()),MONTH(TODAY()),1),1,0))</f>
        <v/>
      </c>
    </row>
    <row r="217" customFormat="false" ht="15" hidden="false" customHeight="false" outlineLevel="0" collapsed="false">
      <c r="G217" s="43" t="str">
        <f aca="false">IF(A217="","",SUMIFS(MOVIMIENTOS!$E$4:$E$20000,MOVIMIENTOS!$B$4:$B$20000,A217,MOVIMIENTOS!$H$4:$H$20000,"Ingreso")+SUMIFS(FLEXIBLE!$D$4:$D$200,FLEXIBLE!$F$4:$F$200,A217))</f>
        <v/>
      </c>
      <c r="H217" s="43" t="str">
        <f aca="false">IF(A217="","",-SUMIFS(MOVIMIENTOS!$E$4:$E$20000,MOVIMIENTOS!$B$4:$B$20000,A217,MOVIMIENTOS!$H$4:$H$20000,"Gasto")+SUMIFS(FLEXIBLE!$D$4:$D$200,FLEXIBLE!$F$4:$F$200,A217))</f>
        <v/>
      </c>
      <c r="I217" s="43" t="str">
        <f aca="false">IF(A217="","",G217-H217)</f>
        <v/>
      </c>
      <c r="J217" s="44" t="str">
        <f aca="false">IF(A217="","",IF(N217=0,"en curso",IF(N(G217)=0,"",I217/G217)))</f>
        <v/>
      </c>
      <c r="K217" s="43" t="str">
        <f aca="false">IF(A217="","",SUM(B217:F217))</f>
        <v/>
      </c>
      <c r="L217" s="45" t="str">
        <f aca="false">IF(A217="","",YEAR(A217))</f>
        <v/>
      </c>
      <c r="M217" s="45" t="str">
        <f aca="false">IF(A217="","",COUNTIFS(MOVIMIENTOS!$B$4:$B$20000,A217,MOVIMIENTOS!$H$4:$H$20000,"Por revisar"))</f>
        <v/>
      </c>
      <c r="N217" s="45" t="str">
        <f aca="true">IF(A217="","",IF(A217&lt;DATE(YEAR(TODAY()),MONTH(TODAY()),1),1,0))</f>
        <v/>
      </c>
    </row>
    <row r="218" customFormat="false" ht="15" hidden="false" customHeight="false" outlineLevel="0" collapsed="false">
      <c r="G218" s="43" t="str">
        <f aca="false">IF(A218="","",SUMIFS(MOVIMIENTOS!$E$4:$E$20000,MOVIMIENTOS!$B$4:$B$20000,A218,MOVIMIENTOS!$H$4:$H$20000,"Ingreso")+SUMIFS(FLEXIBLE!$D$4:$D$200,FLEXIBLE!$F$4:$F$200,A218))</f>
        <v/>
      </c>
      <c r="H218" s="43" t="str">
        <f aca="false">IF(A218="","",-SUMIFS(MOVIMIENTOS!$E$4:$E$20000,MOVIMIENTOS!$B$4:$B$20000,A218,MOVIMIENTOS!$H$4:$H$20000,"Gasto")+SUMIFS(FLEXIBLE!$D$4:$D$200,FLEXIBLE!$F$4:$F$200,A218))</f>
        <v/>
      </c>
      <c r="I218" s="43" t="str">
        <f aca="false">IF(A218="","",G218-H218)</f>
        <v/>
      </c>
      <c r="J218" s="44" t="str">
        <f aca="false">IF(A218="","",IF(N218=0,"en curso",IF(N(G218)=0,"",I218/G218)))</f>
        <v/>
      </c>
      <c r="K218" s="43" t="str">
        <f aca="false">IF(A218="","",SUM(B218:F218))</f>
        <v/>
      </c>
      <c r="L218" s="45" t="str">
        <f aca="false">IF(A218="","",YEAR(A218))</f>
        <v/>
      </c>
      <c r="M218" s="45" t="str">
        <f aca="false">IF(A218="","",COUNTIFS(MOVIMIENTOS!$B$4:$B$20000,A218,MOVIMIENTOS!$H$4:$H$20000,"Por revisar"))</f>
        <v/>
      </c>
      <c r="N218" s="45" t="str">
        <f aca="true">IF(A218="","",IF(A218&lt;DATE(YEAR(TODAY()),MONTH(TODAY()),1),1,0))</f>
        <v/>
      </c>
    </row>
    <row r="219" customFormat="false" ht="15" hidden="false" customHeight="false" outlineLevel="0" collapsed="false">
      <c r="G219" s="43" t="str">
        <f aca="false">IF(A219="","",SUMIFS(MOVIMIENTOS!$E$4:$E$20000,MOVIMIENTOS!$B$4:$B$20000,A219,MOVIMIENTOS!$H$4:$H$20000,"Ingreso")+SUMIFS(FLEXIBLE!$D$4:$D$200,FLEXIBLE!$F$4:$F$200,A219))</f>
        <v/>
      </c>
      <c r="H219" s="43" t="str">
        <f aca="false">IF(A219="","",-SUMIFS(MOVIMIENTOS!$E$4:$E$20000,MOVIMIENTOS!$B$4:$B$20000,A219,MOVIMIENTOS!$H$4:$H$20000,"Gasto")+SUMIFS(FLEXIBLE!$D$4:$D$200,FLEXIBLE!$F$4:$F$200,A219))</f>
        <v/>
      </c>
      <c r="I219" s="43" t="str">
        <f aca="false">IF(A219="","",G219-H219)</f>
        <v/>
      </c>
      <c r="J219" s="44" t="str">
        <f aca="false">IF(A219="","",IF(N219=0,"en curso",IF(N(G219)=0,"",I219/G219)))</f>
        <v/>
      </c>
      <c r="K219" s="43" t="str">
        <f aca="false">IF(A219="","",SUM(B219:F219))</f>
        <v/>
      </c>
      <c r="L219" s="45" t="str">
        <f aca="false">IF(A219="","",YEAR(A219))</f>
        <v/>
      </c>
      <c r="M219" s="45" t="str">
        <f aca="false">IF(A219="","",COUNTIFS(MOVIMIENTOS!$B$4:$B$20000,A219,MOVIMIENTOS!$H$4:$H$20000,"Por revisar"))</f>
        <v/>
      </c>
      <c r="N219" s="45" t="str">
        <f aca="true">IF(A219="","",IF(A219&lt;DATE(YEAR(TODAY()),MONTH(TODAY()),1),1,0))</f>
        <v/>
      </c>
    </row>
    <row r="220" customFormat="false" ht="15" hidden="false" customHeight="false" outlineLevel="0" collapsed="false">
      <c r="G220" s="43" t="str">
        <f aca="false">IF(A220="","",SUMIFS(MOVIMIENTOS!$E$4:$E$20000,MOVIMIENTOS!$B$4:$B$20000,A220,MOVIMIENTOS!$H$4:$H$20000,"Ingreso")+SUMIFS(FLEXIBLE!$D$4:$D$200,FLEXIBLE!$F$4:$F$200,A220))</f>
        <v/>
      </c>
      <c r="H220" s="43" t="str">
        <f aca="false">IF(A220="","",-SUMIFS(MOVIMIENTOS!$E$4:$E$20000,MOVIMIENTOS!$B$4:$B$20000,A220,MOVIMIENTOS!$H$4:$H$20000,"Gasto")+SUMIFS(FLEXIBLE!$D$4:$D$200,FLEXIBLE!$F$4:$F$200,A220))</f>
        <v/>
      </c>
      <c r="I220" s="43" t="str">
        <f aca="false">IF(A220="","",G220-H220)</f>
        <v/>
      </c>
      <c r="J220" s="44" t="str">
        <f aca="false">IF(A220="","",IF(N220=0,"en curso",IF(N(G220)=0,"",I220/G220)))</f>
        <v/>
      </c>
      <c r="K220" s="43" t="str">
        <f aca="false">IF(A220="","",SUM(B220:F220))</f>
        <v/>
      </c>
      <c r="L220" s="45" t="str">
        <f aca="false">IF(A220="","",YEAR(A220))</f>
        <v/>
      </c>
      <c r="M220" s="45" t="str">
        <f aca="false">IF(A220="","",COUNTIFS(MOVIMIENTOS!$B$4:$B$20000,A220,MOVIMIENTOS!$H$4:$H$20000,"Por revisar"))</f>
        <v/>
      </c>
      <c r="N220" s="45" t="str">
        <f aca="true">IF(A220="","",IF(A220&lt;DATE(YEAR(TODAY()),MONTH(TODAY()),1),1,0))</f>
        <v/>
      </c>
    </row>
    <row r="221" customFormat="false" ht="15" hidden="false" customHeight="false" outlineLevel="0" collapsed="false">
      <c r="G221" s="43" t="str">
        <f aca="false">IF(A221="","",SUMIFS(MOVIMIENTOS!$E$4:$E$20000,MOVIMIENTOS!$B$4:$B$20000,A221,MOVIMIENTOS!$H$4:$H$20000,"Ingreso")+SUMIFS(FLEXIBLE!$D$4:$D$200,FLEXIBLE!$F$4:$F$200,A221))</f>
        <v/>
      </c>
      <c r="H221" s="43" t="str">
        <f aca="false">IF(A221="","",-SUMIFS(MOVIMIENTOS!$E$4:$E$20000,MOVIMIENTOS!$B$4:$B$20000,A221,MOVIMIENTOS!$H$4:$H$20000,"Gasto")+SUMIFS(FLEXIBLE!$D$4:$D$200,FLEXIBLE!$F$4:$F$200,A221))</f>
        <v/>
      </c>
      <c r="I221" s="43" t="str">
        <f aca="false">IF(A221="","",G221-H221)</f>
        <v/>
      </c>
      <c r="J221" s="44" t="str">
        <f aca="false">IF(A221="","",IF(N221=0,"en curso",IF(N(G221)=0,"",I221/G221)))</f>
        <v/>
      </c>
      <c r="K221" s="43" t="str">
        <f aca="false">IF(A221="","",SUM(B221:F221))</f>
        <v/>
      </c>
      <c r="L221" s="45" t="str">
        <f aca="false">IF(A221="","",YEAR(A221))</f>
        <v/>
      </c>
      <c r="M221" s="45" t="str">
        <f aca="false">IF(A221="","",COUNTIFS(MOVIMIENTOS!$B$4:$B$20000,A221,MOVIMIENTOS!$H$4:$H$20000,"Por revisar"))</f>
        <v/>
      </c>
      <c r="N221" s="45" t="str">
        <f aca="true">IF(A221="","",IF(A221&lt;DATE(YEAR(TODAY()),MONTH(TODAY()),1),1,0))</f>
        <v/>
      </c>
    </row>
    <row r="222" customFormat="false" ht="15" hidden="false" customHeight="false" outlineLevel="0" collapsed="false">
      <c r="G222" s="43" t="str">
        <f aca="false">IF(A222="","",SUMIFS(MOVIMIENTOS!$E$4:$E$20000,MOVIMIENTOS!$B$4:$B$20000,A222,MOVIMIENTOS!$H$4:$H$20000,"Ingreso")+SUMIFS(FLEXIBLE!$D$4:$D$200,FLEXIBLE!$F$4:$F$200,A222))</f>
        <v/>
      </c>
      <c r="H222" s="43" t="str">
        <f aca="false">IF(A222="","",-SUMIFS(MOVIMIENTOS!$E$4:$E$20000,MOVIMIENTOS!$B$4:$B$20000,A222,MOVIMIENTOS!$H$4:$H$20000,"Gasto")+SUMIFS(FLEXIBLE!$D$4:$D$200,FLEXIBLE!$F$4:$F$200,A222))</f>
        <v/>
      </c>
      <c r="I222" s="43" t="str">
        <f aca="false">IF(A222="","",G222-H222)</f>
        <v/>
      </c>
      <c r="J222" s="44" t="str">
        <f aca="false">IF(A222="","",IF(N222=0,"en curso",IF(N(G222)=0,"",I222/G222)))</f>
        <v/>
      </c>
      <c r="K222" s="43" t="str">
        <f aca="false">IF(A222="","",SUM(B222:F222))</f>
        <v/>
      </c>
      <c r="L222" s="45" t="str">
        <f aca="false">IF(A222="","",YEAR(A222))</f>
        <v/>
      </c>
      <c r="M222" s="45" t="str">
        <f aca="false">IF(A222="","",COUNTIFS(MOVIMIENTOS!$B$4:$B$20000,A222,MOVIMIENTOS!$H$4:$H$20000,"Por revisar"))</f>
        <v/>
      </c>
      <c r="N222" s="45" t="str">
        <f aca="true">IF(A222="","",IF(A222&lt;DATE(YEAR(TODAY()),MONTH(TODAY()),1),1,0))</f>
        <v/>
      </c>
    </row>
    <row r="223" customFormat="false" ht="15" hidden="false" customHeight="false" outlineLevel="0" collapsed="false">
      <c r="G223" s="43" t="str">
        <f aca="false">IF(A223="","",SUMIFS(MOVIMIENTOS!$E$4:$E$20000,MOVIMIENTOS!$B$4:$B$20000,A223,MOVIMIENTOS!$H$4:$H$20000,"Ingreso")+SUMIFS(FLEXIBLE!$D$4:$D$200,FLEXIBLE!$F$4:$F$200,A223))</f>
        <v/>
      </c>
      <c r="H223" s="43" t="str">
        <f aca="false">IF(A223="","",-SUMIFS(MOVIMIENTOS!$E$4:$E$20000,MOVIMIENTOS!$B$4:$B$20000,A223,MOVIMIENTOS!$H$4:$H$20000,"Gasto")+SUMIFS(FLEXIBLE!$D$4:$D$200,FLEXIBLE!$F$4:$F$200,A223))</f>
        <v/>
      </c>
      <c r="I223" s="43" t="str">
        <f aca="false">IF(A223="","",G223-H223)</f>
        <v/>
      </c>
      <c r="J223" s="44" t="str">
        <f aca="false">IF(A223="","",IF(N223=0,"en curso",IF(N(G223)=0,"",I223/G223)))</f>
        <v/>
      </c>
      <c r="K223" s="43" t="str">
        <f aca="false">IF(A223="","",SUM(B223:F223))</f>
        <v/>
      </c>
      <c r="L223" s="45" t="str">
        <f aca="false">IF(A223="","",YEAR(A223))</f>
        <v/>
      </c>
      <c r="M223" s="45" t="str">
        <f aca="false">IF(A223="","",COUNTIFS(MOVIMIENTOS!$B$4:$B$20000,A223,MOVIMIENTOS!$H$4:$H$20000,"Por revisar"))</f>
        <v/>
      </c>
      <c r="N223" s="45" t="str">
        <f aca="true">IF(A223="","",IF(A223&lt;DATE(YEAR(TODAY()),MONTH(TODAY()),1),1,0))</f>
        <v/>
      </c>
    </row>
    <row r="224" customFormat="false" ht="15" hidden="false" customHeight="false" outlineLevel="0" collapsed="false">
      <c r="G224" s="43" t="str">
        <f aca="false">IF(A224="","",SUMIFS(MOVIMIENTOS!$E$4:$E$20000,MOVIMIENTOS!$B$4:$B$20000,A224,MOVIMIENTOS!$H$4:$H$20000,"Ingreso")+SUMIFS(FLEXIBLE!$D$4:$D$200,FLEXIBLE!$F$4:$F$200,A224))</f>
        <v/>
      </c>
      <c r="H224" s="43" t="str">
        <f aca="false">IF(A224="","",-SUMIFS(MOVIMIENTOS!$E$4:$E$20000,MOVIMIENTOS!$B$4:$B$20000,A224,MOVIMIENTOS!$H$4:$H$20000,"Gasto")+SUMIFS(FLEXIBLE!$D$4:$D$200,FLEXIBLE!$F$4:$F$200,A224))</f>
        <v/>
      </c>
      <c r="I224" s="43" t="str">
        <f aca="false">IF(A224="","",G224-H224)</f>
        <v/>
      </c>
      <c r="J224" s="44" t="str">
        <f aca="false">IF(A224="","",IF(N224=0,"en curso",IF(N(G224)=0,"",I224/G224)))</f>
        <v/>
      </c>
      <c r="K224" s="43" t="str">
        <f aca="false">IF(A224="","",SUM(B224:F224))</f>
        <v/>
      </c>
      <c r="L224" s="45" t="str">
        <f aca="false">IF(A224="","",YEAR(A224))</f>
        <v/>
      </c>
      <c r="M224" s="45" t="str">
        <f aca="false">IF(A224="","",COUNTIFS(MOVIMIENTOS!$B$4:$B$20000,A224,MOVIMIENTOS!$H$4:$H$20000,"Por revisar"))</f>
        <v/>
      </c>
      <c r="N224" s="45" t="str">
        <f aca="true">IF(A224="","",IF(A224&lt;DATE(YEAR(TODAY()),MONTH(TODAY()),1),1,0))</f>
        <v/>
      </c>
    </row>
    <row r="225" customFormat="false" ht="15" hidden="false" customHeight="false" outlineLevel="0" collapsed="false">
      <c r="G225" s="43" t="str">
        <f aca="false">IF(A225="","",SUMIFS(MOVIMIENTOS!$E$4:$E$20000,MOVIMIENTOS!$B$4:$B$20000,A225,MOVIMIENTOS!$H$4:$H$20000,"Ingreso")+SUMIFS(FLEXIBLE!$D$4:$D$200,FLEXIBLE!$F$4:$F$200,A225))</f>
        <v/>
      </c>
      <c r="H225" s="43" t="str">
        <f aca="false">IF(A225="","",-SUMIFS(MOVIMIENTOS!$E$4:$E$20000,MOVIMIENTOS!$B$4:$B$20000,A225,MOVIMIENTOS!$H$4:$H$20000,"Gasto")+SUMIFS(FLEXIBLE!$D$4:$D$200,FLEXIBLE!$F$4:$F$200,A225))</f>
        <v/>
      </c>
      <c r="I225" s="43" t="str">
        <f aca="false">IF(A225="","",G225-H225)</f>
        <v/>
      </c>
      <c r="J225" s="44" t="str">
        <f aca="false">IF(A225="","",IF(N225=0,"en curso",IF(N(G225)=0,"",I225/G225)))</f>
        <v/>
      </c>
      <c r="K225" s="43" t="str">
        <f aca="false">IF(A225="","",SUM(B225:F225))</f>
        <v/>
      </c>
      <c r="L225" s="45" t="str">
        <f aca="false">IF(A225="","",YEAR(A225))</f>
        <v/>
      </c>
      <c r="M225" s="45" t="str">
        <f aca="false">IF(A225="","",COUNTIFS(MOVIMIENTOS!$B$4:$B$20000,A225,MOVIMIENTOS!$H$4:$H$20000,"Por revisar"))</f>
        <v/>
      </c>
      <c r="N225" s="45" t="str">
        <f aca="true">IF(A225="","",IF(A225&lt;DATE(YEAR(TODAY()),MONTH(TODAY()),1),1,0))</f>
        <v/>
      </c>
    </row>
    <row r="226" customFormat="false" ht="15" hidden="false" customHeight="false" outlineLevel="0" collapsed="false">
      <c r="G226" s="43" t="str">
        <f aca="false">IF(A226="","",SUMIFS(MOVIMIENTOS!$E$4:$E$20000,MOVIMIENTOS!$B$4:$B$20000,A226,MOVIMIENTOS!$H$4:$H$20000,"Ingreso")+SUMIFS(FLEXIBLE!$D$4:$D$200,FLEXIBLE!$F$4:$F$200,A226))</f>
        <v/>
      </c>
      <c r="H226" s="43" t="str">
        <f aca="false">IF(A226="","",-SUMIFS(MOVIMIENTOS!$E$4:$E$20000,MOVIMIENTOS!$B$4:$B$20000,A226,MOVIMIENTOS!$H$4:$H$20000,"Gasto")+SUMIFS(FLEXIBLE!$D$4:$D$200,FLEXIBLE!$F$4:$F$200,A226))</f>
        <v/>
      </c>
      <c r="I226" s="43" t="str">
        <f aca="false">IF(A226="","",G226-H226)</f>
        <v/>
      </c>
      <c r="J226" s="44" t="str">
        <f aca="false">IF(A226="","",IF(N226=0,"en curso",IF(N(G226)=0,"",I226/G226)))</f>
        <v/>
      </c>
      <c r="K226" s="43" t="str">
        <f aca="false">IF(A226="","",SUM(B226:F226))</f>
        <v/>
      </c>
      <c r="L226" s="45" t="str">
        <f aca="false">IF(A226="","",YEAR(A226))</f>
        <v/>
      </c>
      <c r="M226" s="45" t="str">
        <f aca="false">IF(A226="","",COUNTIFS(MOVIMIENTOS!$B$4:$B$20000,A226,MOVIMIENTOS!$H$4:$H$20000,"Por revisar"))</f>
        <v/>
      </c>
      <c r="N226" s="45" t="str">
        <f aca="true">IF(A226="","",IF(A226&lt;DATE(YEAR(TODAY()),MONTH(TODAY()),1),1,0))</f>
        <v/>
      </c>
    </row>
    <row r="227" customFormat="false" ht="15" hidden="false" customHeight="false" outlineLevel="0" collapsed="false">
      <c r="G227" s="43" t="str">
        <f aca="false">IF(A227="","",SUMIFS(MOVIMIENTOS!$E$4:$E$20000,MOVIMIENTOS!$B$4:$B$20000,A227,MOVIMIENTOS!$H$4:$H$20000,"Ingreso")+SUMIFS(FLEXIBLE!$D$4:$D$200,FLEXIBLE!$F$4:$F$200,A227))</f>
        <v/>
      </c>
      <c r="H227" s="43" t="str">
        <f aca="false">IF(A227="","",-SUMIFS(MOVIMIENTOS!$E$4:$E$20000,MOVIMIENTOS!$B$4:$B$20000,A227,MOVIMIENTOS!$H$4:$H$20000,"Gasto")+SUMIFS(FLEXIBLE!$D$4:$D$200,FLEXIBLE!$F$4:$F$200,A227))</f>
        <v/>
      </c>
      <c r="I227" s="43" t="str">
        <f aca="false">IF(A227="","",G227-H227)</f>
        <v/>
      </c>
      <c r="J227" s="44" t="str">
        <f aca="false">IF(A227="","",IF(N227=0,"en curso",IF(N(G227)=0,"",I227/G227)))</f>
        <v/>
      </c>
      <c r="K227" s="43" t="str">
        <f aca="false">IF(A227="","",SUM(B227:F227))</f>
        <v/>
      </c>
      <c r="L227" s="45" t="str">
        <f aca="false">IF(A227="","",YEAR(A227))</f>
        <v/>
      </c>
      <c r="M227" s="45" t="str">
        <f aca="false">IF(A227="","",COUNTIFS(MOVIMIENTOS!$B$4:$B$20000,A227,MOVIMIENTOS!$H$4:$H$20000,"Por revisar"))</f>
        <v/>
      </c>
      <c r="N227" s="45" t="str">
        <f aca="true">IF(A227="","",IF(A227&lt;DATE(YEAR(TODAY()),MONTH(TODAY()),1),1,0))</f>
        <v/>
      </c>
    </row>
    <row r="228" customFormat="false" ht="15" hidden="false" customHeight="false" outlineLevel="0" collapsed="false">
      <c r="G228" s="43" t="str">
        <f aca="false">IF(A228="","",SUMIFS(MOVIMIENTOS!$E$4:$E$20000,MOVIMIENTOS!$B$4:$B$20000,A228,MOVIMIENTOS!$H$4:$H$20000,"Ingreso")+SUMIFS(FLEXIBLE!$D$4:$D$200,FLEXIBLE!$F$4:$F$200,A228))</f>
        <v/>
      </c>
      <c r="H228" s="43" t="str">
        <f aca="false">IF(A228="","",-SUMIFS(MOVIMIENTOS!$E$4:$E$20000,MOVIMIENTOS!$B$4:$B$20000,A228,MOVIMIENTOS!$H$4:$H$20000,"Gasto")+SUMIFS(FLEXIBLE!$D$4:$D$200,FLEXIBLE!$F$4:$F$200,A228))</f>
        <v/>
      </c>
      <c r="I228" s="43" t="str">
        <f aca="false">IF(A228="","",G228-H228)</f>
        <v/>
      </c>
      <c r="J228" s="44" t="str">
        <f aca="false">IF(A228="","",IF(N228=0,"en curso",IF(N(G228)=0,"",I228/G228)))</f>
        <v/>
      </c>
      <c r="K228" s="43" t="str">
        <f aca="false">IF(A228="","",SUM(B228:F228))</f>
        <v/>
      </c>
      <c r="L228" s="45" t="str">
        <f aca="false">IF(A228="","",YEAR(A228))</f>
        <v/>
      </c>
      <c r="M228" s="45" t="str">
        <f aca="false">IF(A228="","",COUNTIFS(MOVIMIENTOS!$B$4:$B$20000,A228,MOVIMIENTOS!$H$4:$H$20000,"Por revisar"))</f>
        <v/>
      </c>
      <c r="N228" s="45" t="str">
        <f aca="true">IF(A228="","",IF(A228&lt;DATE(YEAR(TODAY()),MONTH(TODAY()),1),1,0))</f>
        <v/>
      </c>
    </row>
    <row r="229" customFormat="false" ht="15" hidden="false" customHeight="false" outlineLevel="0" collapsed="false">
      <c r="G229" s="43" t="str">
        <f aca="false">IF(A229="","",SUMIFS(MOVIMIENTOS!$E$4:$E$20000,MOVIMIENTOS!$B$4:$B$20000,A229,MOVIMIENTOS!$H$4:$H$20000,"Ingreso")+SUMIFS(FLEXIBLE!$D$4:$D$200,FLEXIBLE!$F$4:$F$200,A229))</f>
        <v/>
      </c>
      <c r="H229" s="43" t="str">
        <f aca="false">IF(A229="","",-SUMIFS(MOVIMIENTOS!$E$4:$E$20000,MOVIMIENTOS!$B$4:$B$20000,A229,MOVIMIENTOS!$H$4:$H$20000,"Gasto")+SUMIFS(FLEXIBLE!$D$4:$D$200,FLEXIBLE!$F$4:$F$200,A229))</f>
        <v/>
      </c>
      <c r="I229" s="43" t="str">
        <f aca="false">IF(A229="","",G229-H229)</f>
        <v/>
      </c>
      <c r="J229" s="44" t="str">
        <f aca="false">IF(A229="","",IF(N229=0,"en curso",IF(N(G229)=0,"",I229/G229)))</f>
        <v/>
      </c>
      <c r="K229" s="43" t="str">
        <f aca="false">IF(A229="","",SUM(B229:F229))</f>
        <v/>
      </c>
      <c r="L229" s="45" t="str">
        <f aca="false">IF(A229="","",YEAR(A229))</f>
        <v/>
      </c>
      <c r="M229" s="45" t="str">
        <f aca="false">IF(A229="","",COUNTIFS(MOVIMIENTOS!$B$4:$B$20000,A229,MOVIMIENTOS!$H$4:$H$20000,"Por revisar"))</f>
        <v/>
      </c>
      <c r="N229" s="45" t="str">
        <f aca="true">IF(A229="","",IF(A229&lt;DATE(YEAR(TODAY()),MONTH(TODAY()),1),1,0))</f>
        <v/>
      </c>
    </row>
    <row r="230" customFormat="false" ht="15" hidden="false" customHeight="false" outlineLevel="0" collapsed="false">
      <c r="G230" s="43" t="str">
        <f aca="false">IF(A230="","",SUMIFS(MOVIMIENTOS!$E$4:$E$20000,MOVIMIENTOS!$B$4:$B$20000,A230,MOVIMIENTOS!$H$4:$H$20000,"Ingreso")+SUMIFS(FLEXIBLE!$D$4:$D$200,FLEXIBLE!$F$4:$F$200,A230))</f>
        <v/>
      </c>
      <c r="H230" s="43" t="str">
        <f aca="false">IF(A230="","",-SUMIFS(MOVIMIENTOS!$E$4:$E$20000,MOVIMIENTOS!$B$4:$B$20000,A230,MOVIMIENTOS!$H$4:$H$20000,"Gasto")+SUMIFS(FLEXIBLE!$D$4:$D$200,FLEXIBLE!$F$4:$F$200,A230))</f>
        <v/>
      </c>
      <c r="I230" s="43" t="str">
        <f aca="false">IF(A230="","",G230-H230)</f>
        <v/>
      </c>
      <c r="J230" s="44" t="str">
        <f aca="false">IF(A230="","",IF(N230=0,"en curso",IF(N(G230)=0,"",I230/G230)))</f>
        <v/>
      </c>
      <c r="K230" s="43" t="str">
        <f aca="false">IF(A230="","",SUM(B230:F230))</f>
        <v/>
      </c>
      <c r="L230" s="45" t="str">
        <f aca="false">IF(A230="","",YEAR(A230))</f>
        <v/>
      </c>
      <c r="M230" s="45" t="str">
        <f aca="false">IF(A230="","",COUNTIFS(MOVIMIENTOS!$B$4:$B$20000,A230,MOVIMIENTOS!$H$4:$H$20000,"Por revisar"))</f>
        <v/>
      </c>
      <c r="N230" s="45" t="str">
        <f aca="true">IF(A230="","",IF(A230&lt;DATE(YEAR(TODAY()),MONTH(TODAY()),1),1,0))</f>
        <v/>
      </c>
    </row>
    <row r="231" customFormat="false" ht="15" hidden="false" customHeight="false" outlineLevel="0" collapsed="false">
      <c r="G231" s="43" t="str">
        <f aca="false">IF(A231="","",SUMIFS(MOVIMIENTOS!$E$4:$E$20000,MOVIMIENTOS!$B$4:$B$20000,A231,MOVIMIENTOS!$H$4:$H$20000,"Ingreso")+SUMIFS(FLEXIBLE!$D$4:$D$200,FLEXIBLE!$F$4:$F$200,A231))</f>
        <v/>
      </c>
      <c r="H231" s="43" t="str">
        <f aca="false">IF(A231="","",-SUMIFS(MOVIMIENTOS!$E$4:$E$20000,MOVIMIENTOS!$B$4:$B$20000,A231,MOVIMIENTOS!$H$4:$H$20000,"Gasto")+SUMIFS(FLEXIBLE!$D$4:$D$200,FLEXIBLE!$F$4:$F$200,A231))</f>
        <v/>
      </c>
      <c r="I231" s="43" t="str">
        <f aca="false">IF(A231="","",G231-H231)</f>
        <v/>
      </c>
      <c r="J231" s="44" t="str">
        <f aca="false">IF(A231="","",IF(N231=0,"en curso",IF(N(G231)=0,"",I231/G231)))</f>
        <v/>
      </c>
      <c r="K231" s="43" t="str">
        <f aca="false">IF(A231="","",SUM(B231:F231))</f>
        <v/>
      </c>
      <c r="L231" s="45" t="str">
        <f aca="false">IF(A231="","",YEAR(A231))</f>
        <v/>
      </c>
      <c r="M231" s="45" t="str">
        <f aca="false">IF(A231="","",COUNTIFS(MOVIMIENTOS!$B$4:$B$20000,A231,MOVIMIENTOS!$H$4:$H$20000,"Por revisar"))</f>
        <v/>
      </c>
      <c r="N231" s="45" t="str">
        <f aca="true">IF(A231="","",IF(A231&lt;DATE(YEAR(TODAY()),MONTH(TODAY()),1),1,0))</f>
        <v/>
      </c>
    </row>
    <row r="232" customFormat="false" ht="15" hidden="false" customHeight="false" outlineLevel="0" collapsed="false">
      <c r="G232" s="43" t="str">
        <f aca="false">IF(A232="","",SUMIFS(MOVIMIENTOS!$E$4:$E$20000,MOVIMIENTOS!$B$4:$B$20000,A232,MOVIMIENTOS!$H$4:$H$20000,"Ingreso")+SUMIFS(FLEXIBLE!$D$4:$D$200,FLEXIBLE!$F$4:$F$200,A232))</f>
        <v/>
      </c>
      <c r="H232" s="43" t="str">
        <f aca="false">IF(A232="","",-SUMIFS(MOVIMIENTOS!$E$4:$E$20000,MOVIMIENTOS!$B$4:$B$20000,A232,MOVIMIENTOS!$H$4:$H$20000,"Gasto")+SUMIFS(FLEXIBLE!$D$4:$D$200,FLEXIBLE!$F$4:$F$200,A232))</f>
        <v/>
      </c>
      <c r="I232" s="43" t="str">
        <f aca="false">IF(A232="","",G232-H232)</f>
        <v/>
      </c>
      <c r="J232" s="44" t="str">
        <f aca="false">IF(A232="","",IF(N232=0,"en curso",IF(N(G232)=0,"",I232/G232)))</f>
        <v/>
      </c>
      <c r="K232" s="43" t="str">
        <f aca="false">IF(A232="","",SUM(B232:F232))</f>
        <v/>
      </c>
      <c r="L232" s="45" t="str">
        <f aca="false">IF(A232="","",YEAR(A232))</f>
        <v/>
      </c>
      <c r="M232" s="45" t="str">
        <f aca="false">IF(A232="","",COUNTIFS(MOVIMIENTOS!$B$4:$B$20000,A232,MOVIMIENTOS!$H$4:$H$20000,"Por revisar"))</f>
        <v/>
      </c>
      <c r="N232" s="45" t="str">
        <f aca="true">IF(A232="","",IF(A232&lt;DATE(YEAR(TODAY()),MONTH(TODAY()),1),1,0))</f>
        <v/>
      </c>
    </row>
    <row r="233" customFormat="false" ht="15" hidden="false" customHeight="false" outlineLevel="0" collapsed="false">
      <c r="G233" s="43" t="str">
        <f aca="false">IF(A233="","",SUMIFS(MOVIMIENTOS!$E$4:$E$20000,MOVIMIENTOS!$B$4:$B$20000,A233,MOVIMIENTOS!$H$4:$H$20000,"Ingreso")+SUMIFS(FLEXIBLE!$D$4:$D$200,FLEXIBLE!$F$4:$F$200,A233))</f>
        <v/>
      </c>
      <c r="H233" s="43" t="str">
        <f aca="false">IF(A233="","",-SUMIFS(MOVIMIENTOS!$E$4:$E$20000,MOVIMIENTOS!$B$4:$B$20000,A233,MOVIMIENTOS!$H$4:$H$20000,"Gasto")+SUMIFS(FLEXIBLE!$D$4:$D$200,FLEXIBLE!$F$4:$F$200,A233))</f>
        <v/>
      </c>
      <c r="I233" s="43" t="str">
        <f aca="false">IF(A233="","",G233-H233)</f>
        <v/>
      </c>
      <c r="J233" s="44" t="str">
        <f aca="false">IF(A233="","",IF(N233=0,"en curso",IF(N(G233)=0,"",I233/G233)))</f>
        <v/>
      </c>
      <c r="K233" s="43" t="str">
        <f aca="false">IF(A233="","",SUM(B233:F233))</f>
        <v/>
      </c>
      <c r="L233" s="45" t="str">
        <f aca="false">IF(A233="","",YEAR(A233))</f>
        <v/>
      </c>
      <c r="M233" s="45" t="str">
        <f aca="false">IF(A233="","",COUNTIFS(MOVIMIENTOS!$B$4:$B$20000,A233,MOVIMIENTOS!$H$4:$H$20000,"Por revisar"))</f>
        <v/>
      </c>
      <c r="N233" s="45" t="str">
        <f aca="true">IF(A233="","",IF(A233&lt;DATE(YEAR(TODAY()),MONTH(TODAY()),1),1,0))</f>
        <v/>
      </c>
    </row>
    <row r="234" customFormat="false" ht="15" hidden="false" customHeight="false" outlineLevel="0" collapsed="false">
      <c r="G234" s="43" t="str">
        <f aca="false">IF(A234="","",SUMIFS(MOVIMIENTOS!$E$4:$E$20000,MOVIMIENTOS!$B$4:$B$20000,A234,MOVIMIENTOS!$H$4:$H$20000,"Ingreso")+SUMIFS(FLEXIBLE!$D$4:$D$200,FLEXIBLE!$F$4:$F$200,A234))</f>
        <v/>
      </c>
      <c r="H234" s="43" t="str">
        <f aca="false">IF(A234="","",-SUMIFS(MOVIMIENTOS!$E$4:$E$20000,MOVIMIENTOS!$B$4:$B$20000,A234,MOVIMIENTOS!$H$4:$H$20000,"Gasto")+SUMIFS(FLEXIBLE!$D$4:$D$200,FLEXIBLE!$F$4:$F$200,A234))</f>
        <v/>
      </c>
      <c r="I234" s="43" t="str">
        <f aca="false">IF(A234="","",G234-H234)</f>
        <v/>
      </c>
      <c r="J234" s="44" t="str">
        <f aca="false">IF(A234="","",IF(N234=0,"en curso",IF(N(G234)=0,"",I234/G234)))</f>
        <v/>
      </c>
      <c r="K234" s="43" t="str">
        <f aca="false">IF(A234="","",SUM(B234:F234))</f>
        <v/>
      </c>
      <c r="L234" s="45" t="str">
        <f aca="false">IF(A234="","",YEAR(A234))</f>
        <v/>
      </c>
      <c r="M234" s="45" t="str">
        <f aca="false">IF(A234="","",COUNTIFS(MOVIMIENTOS!$B$4:$B$20000,A234,MOVIMIENTOS!$H$4:$H$20000,"Por revisar"))</f>
        <v/>
      </c>
      <c r="N234" s="45" t="str">
        <f aca="true">IF(A234="","",IF(A234&lt;DATE(YEAR(TODAY()),MONTH(TODAY()),1),1,0))</f>
        <v/>
      </c>
    </row>
    <row r="235" customFormat="false" ht="15" hidden="false" customHeight="false" outlineLevel="0" collapsed="false">
      <c r="G235" s="43" t="str">
        <f aca="false">IF(A235="","",SUMIFS(MOVIMIENTOS!$E$4:$E$20000,MOVIMIENTOS!$B$4:$B$20000,A235,MOVIMIENTOS!$H$4:$H$20000,"Ingreso")+SUMIFS(FLEXIBLE!$D$4:$D$200,FLEXIBLE!$F$4:$F$200,A235))</f>
        <v/>
      </c>
      <c r="H235" s="43" t="str">
        <f aca="false">IF(A235="","",-SUMIFS(MOVIMIENTOS!$E$4:$E$20000,MOVIMIENTOS!$B$4:$B$20000,A235,MOVIMIENTOS!$H$4:$H$20000,"Gasto")+SUMIFS(FLEXIBLE!$D$4:$D$200,FLEXIBLE!$F$4:$F$200,A235))</f>
        <v/>
      </c>
      <c r="I235" s="43" t="str">
        <f aca="false">IF(A235="","",G235-H235)</f>
        <v/>
      </c>
      <c r="J235" s="44" t="str">
        <f aca="false">IF(A235="","",IF(N235=0,"en curso",IF(N(G235)=0,"",I235/G235)))</f>
        <v/>
      </c>
      <c r="K235" s="43" t="str">
        <f aca="false">IF(A235="","",SUM(B235:F235))</f>
        <v/>
      </c>
      <c r="L235" s="45" t="str">
        <f aca="false">IF(A235="","",YEAR(A235))</f>
        <v/>
      </c>
      <c r="M235" s="45" t="str">
        <f aca="false">IF(A235="","",COUNTIFS(MOVIMIENTOS!$B$4:$B$20000,A235,MOVIMIENTOS!$H$4:$H$20000,"Por revisar"))</f>
        <v/>
      </c>
      <c r="N235" s="45" t="str">
        <f aca="true">IF(A235="","",IF(A235&lt;DATE(YEAR(TODAY()),MONTH(TODAY()),1),1,0))</f>
        <v/>
      </c>
    </row>
    <row r="236" customFormat="false" ht="15" hidden="false" customHeight="false" outlineLevel="0" collapsed="false">
      <c r="G236" s="43" t="str">
        <f aca="false">IF(A236="","",SUMIFS(MOVIMIENTOS!$E$4:$E$20000,MOVIMIENTOS!$B$4:$B$20000,A236,MOVIMIENTOS!$H$4:$H$20000,"Ingreso")+SUMIFS(FLEXIBLE!$D$4:$D$200,FLEXIBLE!$F$4:$F$200,A236))</f>
        <v/>
      </c>
      <c r="H236" s="43" t="str">
        <f aca="false">IF(A236="","",-SUMIFS(MOVIMIENTOS!$E$4:$E$20000,MOVIMIENTOS!$B$4:$B$20000,A236,MOVIMIENTOS!$H$4:$H$20000,"Gasto")+SUMIFS(FLEXIBLE!$D$4:$D$200,FLEXIBLE!$F$4:$F$200,A236))</f>
        <v/>
      </c>
      <c r="I236" s="43" t="str">
        <f aca="false">IF(A236="","",G236-H236)</f>
        <v/>
      </c>
      <c r="J236" s="44" t="str">
        <f aca="false">IF(A236="","",IF(N236=0,"en curso",IF(N(G236)=0,"",I236/G236)))</f>
        <v/>
      </c>
      <c r="K236" s="43" t="str">
        <f aca="false">IF(A236="","",SUM(B236:F236))</f>
        <v/>
      </c>
      <c r="L236" s="45" t="str">
        <f aca="false">IF(A236="","",YEAR(A236))</f>
        <v/>
      </c>
      <c r="M236" s="45" t="str">
        <f aca="false">IF(A236="","",COUNTIFS(MOVIMIENTOS!$B$4:$B$20000,A236,MOVIMIENTOS!$H$4:$H$20000,"Por revisar"))</f>
        <v/>
      </c>
      <c r="N236" s="45" t="str">
        <f aca="true">IF(A236="","",IF(A236&lt;DATE(YEAR(TODAY()),MONTH(TODAY()),1),1,0))</f>
        <v/>
      </c>
    </row>
    <row r="237" customFormat="false" ht="15" hidden="false" customHeight="false" outlineLevel="0" collapsed="false">
      <c r="G237" s="43" t="str">
        <f aca="false">IF(A237="","",SUMIFS(MOVIMIENTOS!$E$4:$E$20000,MOVIMIENTOS!$B$4:$B$20000,A237,MOVIMIENTOS!$H$4:$H$20000,"Ingreso")+SUMIFS(FLEXIBLE!$D$4:$D$200,FLEXIBLE!$F$4:$F$200,A237))</f>
        <v/>
      </c>
      <c r="H237" s="43" t="str">
        <f aca="false">IF(A237="","",-SUMIFS(MOVIMIENTOS!$E$4:$E$20000,MOVIMIENTOS!$B$4:$B$20000,A237,MOVIMIENTOS!$H$4:$H$20000,"Gasto")+SUMIFS(FLEXIBLE!$D$4:$D$200,FLEXIBLE!$F$4:$F$200,A237))</f>
        <v/>
      </c>
      <c r="I237" s="43" t="str">
        <f aca="false">IF(A237="","",G237-H237)</f>
        <v/>
      </c>
      <c r="J237" s="44" t="str">
        <f aca="false">IF(A237="","",IF(N237=0,"en curso",IF(N(G237)=0,"",I237/G237)))</f>
        <v/>
      </c>
      <c r="K237" s="43" t="str">
        <f aca="false">IF(A237="","",SUM(B237:F237))</f>
        <v/>
      </c>
      <c r="L237" s="45" t="str">
        <f aca="false">IF(A237="","",YEAR(A237))</f>
        <v/>
      </c>
      <c r="M237" s="45" t="str">
        <f aca="false">IF(A237="","",COUNTIFS(MOVIMIENTOS!$B$4:$B$20000,A237,MOVIMIENTOS!$H$4:$H$20000,"Por revisar"))</f>
        <v/>
      </c>
      <c r="N237" s="45" t="str">
        <f aca="true">IF(A237="","",IF(A237&lt;DATE(YEAR(TODAY()),MONTH(TODAY()),1),1,0))</f>
        <v/>
      </c>
    </row>
    <row r="238" customFormat="false" ht="15" hidden="false" customHeight="false" outlineLevel="0" collapsed="false">
      <c r="G238" s="43" t="str">
        <f aca="false">IF(A238="","",SUMIFS(MOVIMIENTOS!$E$4:$E$20000,MOVIMIENTOS!$B$4:$B$20000,A238,MOVIMIENTOS!$H$4:$H$20000,"Ingreso")+SUMIFS(FLEXIBLE!$D$4:$D$200,FLEXIBLE!$F$4:$F$200,A238))</f>
        <v/>
      </c>
      <c r="H238" s="43" t="str">
        <f aca="false">IF(A238="","",-SUMIFS(MOVIMIENTOS!$E$4:$E$20000,MOVIMIENTOS!$B$4:$B$20000,A238,MOVIMIENTOS!$H$4:$H$20000,"Gasto")+SUMIFS(FLEXIBLE!$D$4:$D$200,FLEXIBLE!$F$4:$F$200,A238))</f>
        <v/>
      </c>
      <c r="I238" s="43" t="str">
        <f aca="false">IF(A238="","",G238-H238)</f>
        <v/>
      </c>
      <c r="J238" s="44" t="str">
        <f aca="false">IF(A238="","",IF(N238=0,"en curso",IF(N(G238)=0,"",I238/G238)))</f>
        <v/>
      </c>
      <c r="K238" s="43" t="str">
        <f aca="false">IF(A238="","",SUM(B238:F238))</f>
        <v/>
      </c>
      <c r="L238" s="45" t="str">
        <f aca="false">IF(A238="","",YEAR(A238))</f>
        <v/>
      </c>
      <c r="M238" s="45" t="str">
        <f aca="false">IF(A238="","",COUNTIFS(MOVIMIENTOS!$B$4:$B$20000,A238,MOVIMIENTOS!$H$4:$H$20000,"Por revisar"))</f>
        <v/>
      </c>
      <c r="N238" s="45" t="str">
        <f aca="true">IF(A238="","",IF(A238&lt;DATE(YEAR(TODAY()),MONTH(TODAY()),1),1,0))</f>
        <v/>
      </c>
    </row>
    <row r="239" customFormat="false" ht="15" hidden="false" customHeight="false" outlineLevel="0" collapsed="false">
      <c r="G239" s="43" t="str">
        <f aca="false">IF(A239="","",SUMIFS(MOVIMIENTOS!$E$4:$E$20000,MOVIMIENTOS!$B$4:$B$20000,A239,MOVIMIENTOS!$H$4:$H$20000,"Ingreso")+SUMIFS(FLEXIBLE!$D$4:$D$200,FLEXIBLE!$F$4:$F$200,A239))</f>
        <v/>
      </c>
      <c r="H239" s="43" t="str">
        <f aca="false">IF(A239="","",-SUMIFS(MOVIMIENTOS!$E$4:$E$20000,MOVIMIENTOS!$B$4:$B$20000,A239,MOVIMIENTOS!$H$4:$H$20000,"Gasto")+SUMIFS(FLEXIBLE!$D$4:$D$200,FLEXIBLE!$F$4:$F$200,A239))</f>
        <v/>
      </c>
      <c r="I239" s="43" t="str">
        <f aca="false">IF(A239="","",G239-H239)</f>
        <v/>
      </c>
      <c r="J239" s="44" t="str">
        <f aca="false">IF(A239="","",IF(N239=0,"en curso",IF(N(G239)=0,"",I239/G239)))</f>
        <v/>
      </c>
      <c r="K239" s="43" t="str">
        <f aca="false">IF(A239="","",SUM(B239:F239))</f>
        <v/>
      </c>
      <c r="L239" s="45" t="str">
        <f aca="false">IF(A239="","",YEAR(A239))</f>
        <v/>
      </c>
      <c r="M239" s="45" t="str">
        <f aca="false">IF(A239="","",COUNTIFS(MOVIMIENTOS!$B$4:$B$20000,A239,MOVIMIENTOS!$H$4:$H$20000,"Por revisar"))</f>
        <v/>
      </c>
      <c r="N239" s="45" t="str">
        <f aca="true">IF(A239="","",IF(A239&lt;DATE(YEAR(TODAY()),MONTH(TODAY()),1),1,0))</f>
        <v/>
      </c>
    </row>
    <row r="240" customFormat="false" ht="15" hidden="false" customHeight="false" outlineLevel="0" collapsed="false">
      <c r="G240" s="43" t="str">
        <f aca="false">IF(A240="","",SUMIFS(MOVIMIENTOS!$E$4:$E$20000,MOVIMIENTOS!$B$4:$B$20000,A240,MOVIMIENTOS!$H$4:$H$20000,"Ingreso")+SUMIFS(FLEXIBLE!$D$4:$D$200,FLEXIBLE!$F$4:$F$200,A240))</f>
        <v/>
      </c>
      <c r="H240" s="43" t="str">
        <f aca="false">IF(A240="","",-SUMIFS(MOVIMIENTOS!$E$4:$E$20000,MOVIMIENTOS!$B$4:$B$20000,A240,MOVIMIENTOS!$H$4:$H$20000,"Gasto")+SUMIFS(FLEXIBLE!$D$4:$D$200,FLEXIBLE!$F$4:$F$200,A240))</f>
        <v/>
      </c>
      <c r="I240" s="43" t="str">
        <f aca="false">IF(A240="","",G240-H240)</f>
        <v/>
      </c>
      <c r="J240" s="44" t="str">
        <f aca="false">IF(A240="","",IF(N240=0,"en curso",IF(N(G240)=0,"",I240/G240)))</f>
        <v/>
      </c>
      <c r="K240" s="43" t="str">
        <f aca="false">IF(A240="","",SUM(B240:F240))</f>
        <v/>
      </c>
      <c r="L240" s="45" t="str">
        <f aca="false">IF(A240="","",YEAR(A240))</f>
        <v/>
      </c>
      <c r="M240" s="45" t="str">
        <f aca="false">IF(A240="","",COUNTIFS(MOVIMIENTOS!$B$4:$B$20000,A240,MOVIMIENTOS!$H$4:$H$20000,"Por revisar"))</f>
        <v/>
      </c>
      <c r="N240" s="45" t="str">
        <f aca="true">IF(A240="","",IF(A240&lt;DATE(YEAR(TODAY()),MONTH(TODAY()),1),1,0))</f>
        <v/>
      </c>
    </row>
    <row r="241" customFormat="false" ht="15" hidden="false" customHeight="false" outlineLevel="0" collapsed="false">
      <c r="G241" s="43" t="str">
        <f aca="false">IF(A241="","",SUMIFS(MOVIMIENTOS!$E$4:$E$20000,MOVIMIENTOS!$B$4:$B$20000,A241,MOVIMIENTOS!$H$4:$H$20000,"Ingreso")+SUMIFS(FLEXIBLE!$D$4:$D$200,FLEXIBLE!$F$4:$F$200,A241))</f>
        <v/>
      </c>
      <c r="H241" s="43" t="str">
        <f aca="false">IF(A241="","",-SUMIFS(MOVIMIENTOS!$E$4:$E$20000,MOVIMIENTOS!$B$4:$B$20000,A241,MOVIMIENTOS!$H$4:$H$20000,"Gasto")+SUMIFS(FLEXIBLE!$D$4:$D$200,FLEXIBLE!$F$4:$F$200,A241))</f>
        <v/>
      </c>
      <c r="I241" s="43" t="str">
        <f aca="false">IF(A241="","",G241-H241)</f>
        <v/>
      </c>
      <c r="J241" s="44" t="str">
        <f aca="false">IF(A241="","",IF(N241=0,"en curso",IF(N(G241)=0,"",I241/G241)))</f>
        <v/>
      </c>
      <c r="K241" s="43" t="str">
        <f aca="false">IF(A241="","",SUM(B241:F241))</f>
        <v/>
      </c>
      <c r="L241" s="45" t="str">
        <f aca="false">IF(A241="","",YEAR(A241))</f>
        <v/>
      </c>
      <c r="M241" s="45" t="str">
        <f aca="false">IF(A241="","",COUNTIFS(MOVIMIENTOS!$B$4:$B$20000,A241,MOVIMIENTOS!$H$4:$H$20000,"Por revisar"))</f>
        <v/>
      </c>
      <c r="N241" s="45" t="str">
        <f aca="true">IF(A241="","",IF(A241&lt;DATE(YEAR(TODAY()),MONTH(TODAY()),1),1,0))</f>
        <v/>
      </c>
    </row>
    <row r="242" customFormat="false" ht="15" hidden="false" customHeight="false" outlineLevel="0" collapsed="false">
      <c r="G242" s="43" t="str">
        <f aca="false">IF(A242="","",SUMIFS(MOVIMIENTOS!$E$4:$E$20000,MOVIMIENTOS!$B$4:$B$20000,A242,MOVIMIENTOS!$H$4:$H$20000,"Ingreso")+SUMIFS(FLEXIBLE!$D$4:$D$200,FLEXIBLE!$F$4:$F$200,A242))</f>
        <v/>
      </c>
      <c r="H242" s="43" t="str">
        <f aca="false">IF(A242="","",-SUMIFS(MOVIMIENTOS!$E$4:$E$20000,MOVIMIENTOS!$B$4:$B$20000,A242,MOVIMIENTOS!$H$4:$H$20000,"Gasto")+SUMIFS(FLEXIBLE!$D$4:$D$200,FLEXIBLE!$F$4:$F$200,A242))</f>
        <v/>
      </c>
      <c r="I242" s="43" t="str">
        <f aca="false">IF(A242="","",G242-H242)</f>
        <v/>
      </c>
      <c r="J242" s="44" t="str">
        <f aca="false">IF(A242="","",IF(N242=0,"en curso",IF(N(G242)=0,"",I242/G242)))</f>
        <v/>
      </c>
      <c r="K242" s="43" t="str">
        <f aca="false">IF(A242="","",SUM(B242:F242))</f>
        <v/>
      </c>
      <c r="L242" s="45" t="str">
        <f aca="false">IF(A242="","",YEAR(A242))</f>
        <v/>
      </c>
      <c r="M242" s="45" t="str">
        <f aca="false">IF(A242="","",COUNTIFS(MOVIMIENTOS!$B$4:$B$20000,A242,MOVIMIENTOS!$H$4:$H$20000,"Por revisar"))</f>
        <v/>
      </c>
      <c r="N242" s="45" t="str">
        <f aca="true">IF(A242="","",IF(A242&lt;DATE(YEAR(TODAY()),MONTH(TODAY()),1),1,0))</f>
        <v/>
      </c>
    </row>
    <row r="243" customFormat="false" ht="15" hidden="false" customHeight="false" outlineLevel="0" collapsed="false">
      <c r="G243" s="43" t="str">
        <f aca="false">IF(A243="","",SUMIFS(MOVIMIENTOS!$E$4:$E$20000,MOVIMIENTOS!$B$4:$B$20000,A243,MOVIMIENTOS!$H$4:$H$20000,"Ingreso")+SUMIFS(FLEXIBLE!$D$4:$D$200,FLEXIBLE!$F$4:$F$200,A243))</f>
        <v/>
      </c>
      <c r="H243" s="43" t="str">
        <f aca="false">IF(A243="","",-SUMIFS(MOVIMIENTOS!$E$4:$E$20000,MOVIMIENTOS!$B$4:$B$20000,A243,MOVIMIENTOS!$H$4:$H$20000,"Gasto")+SUMIFS(FLEXIBLE!$D$4:$D$200,FLEXIBLE!$F$4:$F$200,A243))</f>
        <v/>
      </c>
      <c r="I243" s="43" t="str">
        <f aca="false">IF(A243="","",G243-H243)</f>
        <v/>
      </c>
      <c r="J243" s="44" t="str">
        <f aca="false">IF(A243="","",IF(N243=0,"en curso",IF(N(G243)=0,"",I243/G243)))</f>
        <v/>
      </c>
      <c r="K243" s="43" t="str">
        <f aca="false">IF(A243="","",SUM(B243:F243))</f>
        <v/>
      </c>
      <c r="L243" s="45" t="str">
        <f aca="false">IF(A243="","",YEAR(A243))</f>
        <v/>
      </c>
      <c r="M243" s="45" t="str">
        <f aca="false">IF(A243="","",COUNTIFS(MOVIMIENTOS!$B$4:$B$20000,A243,MOVIMIENTOS!$H$4:$H$20000,"Por revisar"))</f>
        <v/>
      </c>
      <c r="N243" s="45" t="str">
        <f aca="true">IF(A243="","",IF(A243&lt;DATE(YEAR(TODAY()),MONTH(TODAY()),1),1,0))</f>
        <v/>
      </c>
    </row>
    <row r="244" customFormat="false" ht="15" hidden="false" customHeight="false" outlineLevel="0" collapsed="false">
      <c r="G244" s="43" t="str">
        <f aca="false">IF(A244="","",SUMIFS(MOVIMIENTOS!$E$4:$E$20000,MOVIMIENTOS!$B$4:$B$20000,A244,MOVIMIENTOS!$H$4:$H$20000,"Ingreso")+SUMIFS(FLEXIBLE!$D$4:$D$200,FLEXIBLE!$F$4:$F$200,A244))</f>
        <v/>
      </c>
      <c r="H244" s="43" t="str">
        <f aca="false">IF(A244="","",-SUMIFS(MOVIMIENTOS!$E$4:$E$20000,MOVIMIENTOS!$B$4:$B$20000,A244,MOVIMIENTOS!$H$4:$H$20000,"Gasto")+SUMIFS(FLEXIBLE!$D$4:$D$200,FLEXIBLE!$F$4:$F$200,A244))</f>
        <v/>
      </c>
      <c r="I244" s="43" t="str">
        <f aca="false">IF(A244="","",G244-H244)</f>
        <v/>
      </c>
      <c r="J244" s="44" t="str">
        <f aca="false">IF(A244="","",IF(N244=0,"en curso",IF(N(G244)=0,"",I244/G244)))</f>
        <v/>
      </c>
      <c r="K244" s="43" t="str">
        <f aca="false">IF(A244="","",SUM(B244:F244))</f>
        <v/>
      </c>
      <c r="L244" s="45" t="str">
        <f aca="false">IF(A244="","",YEAR(A244))</f>
        <v/>
      </c>
      <c r="M244" s="45" t="str">
        <f aca="false">IF(A244="","",COUNTIFS(MOVIMIENTOS!$B$4:$B$20000,A244,MOVIMIENTOS!$H$4:$H$20000,"Por revisar"))</f>
        <v/>
      </c>
      <c r="N244" s="45" t="str">
        <f aca="true">IF(A244="","",IF(A244&lt;DATE(YEAR(TODAY()),MONTH(TODAY()),1),1,0))</f>
        <v/>
      </c>
    </row>
    <row r="245" customFormat="false" ht="15" hidden="false" customHeight="false" outlineLevel="0" collapsed="false">
      <c r="G245" s="43" t="str">
        <f aca="false">IF(A245="","",SUMIFS(MOVIMIENTOS!$E$4:$E$20000,MOVIMIENTOS!$B$4:$B$20000,A245,MOVIMIENTOS!$H$4:$H$20000,"Ingreso")+SUMIFS(FLEXIBLE!$D$4:$D$200,FLEXIBLE!$F$4:$F$200,A245))</f>
        <v/>
      </c>
      <c r="H245" s="43" t="str">
        <f aca="false">IF(A245="","",-SUMIFS(MOVIMIENTOS!$E$4:$E$20000,MOVIMIENTOS!$B$4:$B$20000,A245,MOVIMIENTOS!$H$4:$H$20000,"Gasto")+SUMIFS(FLEXIBLE!$D$4:$D$200,FLEXIBLE!$F$4:$F$200,A245))</f>
        <v/>
      </c>
      <c r="I245" s="43" t="str">
        <f aca="false">IF(A245="","",G245-H245)</f>
        <v/>
      </c>
      <c r="J245" s="44" t="str">
        <f aca="false">IF(A245="","",IF(N245=0,"en curso",IF(N(G245)=0,"",I245/G245)))</f>
        <v/>
      </c>
      <c r="K245" s="43" t="str">
        <f aca="false">IF(A245="","",SUM(B245:F245))</f>
        <v/>
      </c>
      <c r="L245" s="45" t="str">
        <f aca="false">IF(A245="","",YEAR(A245))</f>
        <v/>
      </c>
      <c r="M245" s="45" t="str">
        <f aca="false">IF(A245="","",COUNTIFS(MOVIMIENTOS!$B$4:$B$20000,A245,MOVIMIENTOS!$H$4:$H$20000,"Por revisar"))</f>
        <v/>
      </c>
      <c r="N245" s="45" t="str">
        <f aca="true">IF(A245="","",IF(A245&lt;DATE(YEAR(TODAY()),MONTH(TODAY()),1),1,0))</f>
        <v/>
      </c>
    </row>
  </sheetData>
  <conditionalFormatting sqref="M6:M245">
    <cfRule type="expression" priority="2" aboveAverage="0" equalAverage="0" bottom="0" percent="0" rank="0" text="" dxfId="0">
      <formula>N($M6)&gt;0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62"/>
    <col collapsed="false" customWidth="true" hidden="false" outlineLevel="0" max="6" min="5" style="0" width="12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3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103</v>
      </c>
    </row>
    <row r="3" customFormat="false" ht="15" hidden="false" customHeight="false" outlineLevel="0" collapsed="false">
      <c r="A3" s="22" t="s">
        <v>104</v>
      </c>
      <c r="B3" s="22" t="s">
        <v>90</v>
      </c>
      <c r="C3" s="22" t="s">
        <v>105</v>
      </c>
      <c r="D3" s="22" t="s">
        <v>106</v>
      </c>
      <c r="E3" s="22" t="s">
        <v>107</v>
      </c>
      <c r="F3" s="22" t="s">
        <v>108</v>
      </c>
      <c r="G3" s="22" t="s">
        <v>109</v>
      </c>
      <c r="H3" s="22" t="s">
        <v>110</v>
      </c>
      <c r="I3" s="22" t="s">
        <v>111</v>
      </c>
      <c r="J3" s="22" t="s">
        <v>112</v>
      </c>
      <c r="K3" s="22" t="s">
        <v>113</v>
      </c>
    </row>
    <row r="4" customFormat="false" ht="15" hidden="false" customHeight="false" outlineLevel="0" collapsed="false">
      <c r="A4" s="46" t="n">
        <v>46295</v>
      </c>
      <c r="B4" s="47" t="n">
        <f aca="false">DATE(YEAR(A4),MONTH(A4),1)</f>
        <v>46266</v>
      </c>
      <c r="C4" s="5" t="s">
        <v>93</v>
      </c>
      <c r="D4" s="5" t="s">
        <v>114</v>
      </c>
      <c r="E4" s="48" t="n">
        <v>34.98</v>
      </c>
      <c r="F4" s="48" t="n">
        <v>56006</v>
      </c>
      <c r="G4" s="49" t="s">
        <v>115</v>
      </c>
      <c r="H4" s="27" t="str">
        <f aca="false">IFERROR(VLOOKUP(G4,CATEGORÍAS!$A$4:$C$100,2,FALSE()),"Por revisar")</f>
        <v>Ingreso</v>
      </c>
      <c r="I4" s="27" t="str">
        <f aca="false">IFERROR(VLOOKUP(G4,CATEGORÍAS!$A$4:$C$100,3,FALSE()),"")</f>
        <v>Ahorro</v>
      </c>
      <c r="J4" s="49"/>
      <c r="K4" s="50" t="s">
        <v>116</v>
      </c>
    </row>
    <row r="5" customFormat="false" ht="15" hidden="false" customHeight="false" outlineLevel="0" collapsed="false">
      <c r="A5" s="46" t="n">
        <v>46293</v>
      </c>
      <c r="B5" s="47" t="n">
        <f aca="false">DATE(YEAR(A5),MONTH(A5),1)</f>
        <v>46266</v>
      </c>
      <c r="C5" s="5" t="s">
        <v>91</v>
      </c>
      <c r="D5" s="5" t="s">
        <v>117</v>
      </c>
      <c r="E5" s="48" t="n">
        <v>2150</v>
      </c>
      <c r="F5" s="48" t="n">
        <v>10501.16</v>
      </c>
      <c r="G5" s="49" t="s">
        <v>118</v>
      </c>
      <c r="H5" s="27" t="str">
        <f aca="false">IFERROR(VLOOKUP(G5,CATEGORÍAS!$A$4:$C$100,2,FALSE()),"Por revisar")</f>
        <v>Ingreso</v>
      </c>
      <c r="I5" s="27" t="str">
        <f aca="false">IFERROR(VLOOKUP(G5,CATEGORÍAS!$A$4:$C$100,3,FALSE()),"")</f>
        <v>Trabajo</v>
      </c>
      <c r="J5" s="49"/>
      <c r="K5" s="50" t="s">
        <v>119</v>
      </c>
    </row>
    <row r="6" customFormat="false" ht="15" hidden="false" customHeight="false" outlineLevel="0" collapsed="false">
      <c r="A6" s="46" t="n">
        <v>46292</v>
      </c>
      <c r="B6" s="47" t="n">
        <f aca="false">DATE(YEAR(A6),MONTH(A6),1)</f>
        <v>46266</v>
      </c>
      <c r="C6" s="5" t="s">
        <v>120</v>
      </c>
      <c r="D6" s="5" t="s">
        <v>121</v>
      </c>
      <c r="E6" s="48" t="n">
        <v>-11.6</v>
      </c>
      <c r="F6" s="5"/>
      <c r="G6" s="49" t="s">
        <v>122</v>
      </c>
      <c r="H6" s="27" t="str">
        <f aca="false">IFERROR(VLOOKUP(G6,CATEGORÍAS!$A$4:$C$100,2,FALSE()),"Por revisar")</f>
        <v>Gasto</v>
      </c>
      <c r="I6" s="27" t="str">
        <f aca="false">IFERROR(VLOOKUP(G6,CATEGORÍAS!$A$4:$C$100,3,FALSE()),"")</f>
        <v>Comida</v>
      </c>
      <c r="J6" s="49"/>
      <c r="K6" s="50" t="s">
        <v>123</v>
      </c>
    </row>
    <row r="7" customFormat="false" ht="15" hidden="false" customHeight="false" outlineLevel="0" collapsed="false">
      <c r="A7" s="46" t="n">
        <v>46292</v>
      </c>
      <c r="B7" s="47" t="n">
        <f aca="false">DATE(YEAR(A7),MONTH(A7),1)</f>
        <v>46266</v>
      </c>
      <c r="C7" s="5" t="s">
        <v>120</v>
      </c>
      <c r="D7" s="5" t="s">
        <v>124</v>
      </c>
      <c r="E7" s="48" t="n">
        <v>-7.97</v>
      </c>
      <c r="F7" s="5"/>
      <c r="G7" s="49" t="s">
        <v>125</v>
      </c>
      <c r="H7" s="27" t="str">
        <f aca="false">IFERROR(VLOOKUP(G7,CATEGORÍAS!$A$4:$C$100,2,FALSE()),"Por revisar")</f>
        <v>Gasto</v>
      </c>
      <c r="I7" s="27" t="str">
        <f aca="false">IFERROR(VLOOKUP(G7,CATEGORÍAS!$A$4:$C$100,3,FALSE()),"")</f>
        <v>Comida</v>
      </c>
      <c r="J7" s="49"/>
      <c r="K7" s="50" t="s">
        <v>126</v>
      </c>
    </row>
    <row r="8" customFormat="false" ht="15" hidden="false" customHeight="false" outlineLevel="0" collapsed="false">
      <c r="A8" s="46" t="n">
        <v>46289</v>
      </c>
      <c r="B8" s="47" t="n">
        <f aca="false">DATE(YEAR(A8),MONTH(A8),1)</f>
        <v>46266</v>
      </c>
      <c r="C8" s="5" t="s">
        <v>120</v>
      </c>
      <c r="D8" s="5" t="s">
        <v>127</v>
      </c>
      <c r="E8" s="48" t="n">
        <v>-37.23</v>
      </c>
      <c r="F8" s="5"/>
      <c r="G8" s="49" t="s">
        <v>125</v>
      </c>
      <c r="H8" s="27" t="str">
        <f aca="false">IFERROR(VLOOKUP(G8,CATEGORÍAS!$A$4:$C$100,2,FALSE()),"Por revisar")</f>
        <v>Gasto</v>
      </c>
      <c r="I8" s="27" t="str">
        <f aca="false">IFERROR(VLOOKUP(G8,CATEGORÍAS!$A$4:$C$100,3,FALSE()),"")</f>
        <v>Comida</v>
      </c>
      <c r="J8" s="49"/>
      <c r="K8" s="50" t="s">
        <v>128</v>
      </c>
    </row>
    <row r="9" customFormat="false" ht="15" hidden="false" customHeight="false" outlineLevel="0" collapsed="false">
      <c r="A9" s="46" t="n">
        <v>46289</v>
      </c>
      <c r="B9" s="47" t="n">
        <f aca="false">DATE(YEAR(A9),MONTH(A9),1)</f>
        <v>46266</v>
      </c>
      <c r="C9" s="5" t="s">
        <v>120</v>
      </c>
      <c r="D9" s="5" t="s">
        <v>129</v>
      </c>
      <c r="E9" s="48" t="n">
        <v>-20</v>
      </c>
      <c r="F9" s="5"/>
      <c r="G9" s="49" t="s">
        <v>130</v>
      </c>
      <c r="H9" s="27" t="str">
        <f aca="false">IFERROR(VLOOKUP(G9,CATEGORÍAS!$A$4:$C$100,2,FALSE()),"Por revisar")</f>
        <v>Gasto</v>
      </c>
      <c r="I9" s="27" t="str">
        <f aca="false">IFERROR(VLOOKUP(G9,CATEGORÍAS!$A$4:$C$100,3,FALSE()),"")</f>
        <v>Transporte</v>
      </c>
      <c r="J9" s="49"/>
      <c r="K9" s="50" t="s">
        <v>131</v>
      </c>
    </row>
    <row r="10" customFormat="false" ht="15" hidden="false" customHeight="false" outlineLevel="0" collapsed="false">
      <c r="A10" s="46" t="n">
        <v>46289</v>
      </c>
      <c r="B10" s="47" t="n">
        <f aca="false">DATE(YEAR(A10),MONTH(A10),1)</f>
        <v>46266</v>
      </c>
      <c r="C10" s="5" t="s">
        <v>91</v>
      </c>
      <c r="D10" s="5" t="s">
        <v>132</v>
      </c>
      <c r="E10" s="48" t="n">
        <v>19</v>
      </c>
      <c r="F10" s="48" t="n">
        <v>8351.16</v>
      </c>
      <c r="G10" s="49" t="s">
        <v>133</v>
      </c>
      <c r="H10" s="27" t="str">
        <f aca="false">IFERROR(VLOOKUP(G10,CATEGORÍAS!$A$4:$C$100,2,FALSE()),"Por revisar")</f>
        <v>Por revisar</v>
      </c>
      <c r="I10" s="27" t="n">
        <f aca="false">IFERROR(VLOOKUP(G10,CATEGORÍAS!$A$4:$C$100,3,FALSE()),"")</f>
        <v>0</v>
      </c>
      <c r="J10" s="49"/>
      <c r="K10" s="50" t="s">
        <v>134</v>
      </c>
    </row>
    <row r="11" customFormat="false" ht="15" hidden="false" customHeight="false" outlineLevel="0" collapsed="false">
      <c r="A11" s="46" t="n">
        <v>46288</v>
      </c>
      <c r="B11" s="47" t="n">
        <f aca="false">DATE(YEAR(A11),MONTH(A11),1)</f>
        <v>46266</v>
      </c>
      <c r="C11" s="5" t="s">
        <v>120</v>
      </c>
      <c r="D11" s="5" t="s">
        <v>135</v>
      </c>
      <c r="E11" s="48" t="n">
        <v>-44.59</v>
      </c>
      <c r="F11" s="5"/>
      <c r="G11" s="49" t="s">
        <v>136</v>
      </c>
      <c r="H11" s="27" t="str">
        <f aca="false">IFERROR(VLOOKUP(G11,CATEGORÍAS!$A$4:$C$100,2,FALSE()),"Por revisar")</f>
        <v>Gasto</v>
      </c>
      <c r="I11" s="27" t="str">
        <f aca="false">IFERROR(VLOOKUP(G11,CATEGORÍAS!$A$4:$C$100,3,FALSE()),"")</f>
        <v>Personal</v>
      </c>
      <c r="J11" s="49"/>
      <c r="K11" s="50" t="s">
        <v>137</v>
      </c>
    </row>
    <row r="12" customFormat="false" ht="15" hidden="false" customHeight="false" outlineLevel="0" collapsed="false">
      <c r="A12" s="46" t="n">
        <v>46288</v>
      </c>
      <c r="B12" s="47" t="n">
        <f aca="false">DATE(YEAR(A12),MONTH(A12),1)</f>
        <v>46266</v>
      </c>
      <c r="C12" s="5" t="s">
        <v>120</v>
      </c>
      <c r="D12" s="5" t="s">
        <v>127</v>
      </c>
      <c r="E12" s="48" t="n">
        <v>-29.53</v>
      </c>
      <c r="F12" s="5"/>
      <c r="G12" s="49" t="s">
        <v>125</v>
      </c>
      <c r="H12" s="27" t="str">
        <f aca="false">IFERROR(VLOOKUP(G12,CATEGORÍAS!$A$4:$C$100,2,FALSE()),"Por revisar")</f>
        <v>Gasto</v>
      </c>
      <c r="I12" s="27" t="str">
        <f aca="false">IFERROR(VLOOKUP(G12,CATEGORÍAS!$A$4:$C$100,3,FALSE()),"")</f>
        <v>Comida</v>
      </c>
      <c r="J12" s="49"/>
      <c r="K12" s="50" t="s">
        <v>138</v>
      </c>
    </row>
    <row r="13" customFormat="false" ht="15" hidden="false" customHeight="false" outlineLevel="0" collapsed="false">
      <c r="A13" s="46" t="n">
        <v>46287</v>
      </c>
      <c r="B13" s="47" t="n">
        <f aca="false">DATE(YEAR(A13),MONTH(A13),1)</f>
        <v>46266</v>
      </c>
      <c r="C13" s="5" t="s">
        <v>120</v>
      </c>
      <c r="D13" s="5" t="s">
        <v>124</v>
      </c>
      <c r="E13" s="48" t="n">
        <v>-8.79</v>
      </c>
      <c r="F13" s="5"/>
      <c r="G13" s="49" t="s">
        <v>125</v>
      </c>
      <c r="H13" s="27" t="str">
        <f aca="false">IFERROR(VLOOKUP(G13,CATEGORÍAS!$A$4:$C$100,2,FALSE()),"Por revisar")</f>
        <v>Gasto</v>
      </c>
      <c r="I13" s="27" t="str">
        <f aca="false">IFERROR(VLOOKUP(G13,CATEGORÍAS!$A$4:$C$100,3,FALSE()),"")</f>
        <v>Comida</v>
      </c>
      <c r="J13" s="49"/>
      <c r="K13" s="50" t="s">
        <v>139</v>
      </c>
    </row>
    <row r="14" customFormat="false" ht="15" hidden="false" customHeight="false" outlineLevel="0" collapsed="false">
      <c r="A14" s="46" t="n">
        <v>46287</v>
      </c>
      <c r="B14" s="47" t="n">
        <f aca="false">DATE(YEAR(A14),MONTH(A14),1)</f>
        <v>46266</v>
      </c>
      <c r="C14" s="5" t="s">
        <v>91</v>
      </c>
      <c r="D14" s="5" t="s">
        <v>140</v>
      </c>
      <c r="E14" s="48" t="n">
        <v>-22</v>
      </c>
      <c r="F14" s="48" t="n">
        <v>8332.16</v>
      </c>
      <c r="G14" s="49" t="s">
        <v>141</v>
      </c>
      <c r="H14" s="27" t="str">
        <f aca="false">IFERROR(VLOOKUP(G14,CATEGORÍAS!$A$4:$C$100,2,FALSE()),"Por revisar")</f>
        <v>Gasto</v>
      </c>
      <c r="I14" s="27" t="str">
        <f aca="false">IFERROR(VLOOKUP(G14,CATEGORÍAS!$A$4:$C$100,3,FALSE()),"")</f>
        <v>Personal</v>
      </c>
      <c r="J14" s="49"/>
      <c r="K14" s="50" t="s">
        <v>142</v>
      </c>
    </row>
    <row r="15" customFormat="false" ht="15" hidden="false" customHeight="false" outlineLevel="0" collapsed="false">
      <c r="A15" s="46" t="n">
        <v>46284</v>
      </c>
      <c r="B15" s="47" t="n">
        <f aca="false">DATE(YEAR(A15),MONTH(A15),1)</f>
        <v>46266</v>
      </c>
      <c r="C15" s="5" t="s">
        <v>120</v>
      </c>
      <c r="D15" s="5" t="s">
        <v>121</v>
      </c>
      <c r="E15" s="48" t="n">
        <v>-19.81</v>
      </c>
      <c r="F15" s="5"/>
      <c r="G15" s="49" t="s">
        <v>122</v>
      </c>
      <c r="H15" s="27" t="str">
        <f aca="false">IFERROR(VLOOKUP(G15,CATEGORÍAS!$A$4:$C$100,2,FALSE()),"Por revisar")</f>
        <v>Gasto</v>
      </c>
      <c r="I15" s="27" t="str">
        <f aca="false">IFERROR(VLOOKUP(G15,CATEGORÍAS!$A$4:$C$100,3,FALSE()),"")</f>
        <v>Comida</v>
      </c>
      <c r="J15" s="49"/>
      <c r="K15" s="50" t="s">
        <v>143</v>
      </c>
    </row>
    <row r="16" customFormat="false" ht="15" hidden="false" customHeight="false" outlineLevel="0" collapsed="false">
      <c r="A16" s="46" t="n">
        <v>46282</v>
      </c>
      <c r="B16" s="47" t="n">
        <f aca="false">DATE(YEAR(A16),MONTH(A16),1)</f>
        <v>46266</v>
      </c>
      <c r="C16" s="5" t="s">
        <v>120</v>
      </c>
      <c r="D16" s="5" t="s">
        <v>144</v>
      </c>
      <c r="E16" s="48" t="n">
        <v>-36.94</v>
      </c>
      <c r="F16" s="5"/>
      <c r="G16" s="49" t="s">
        <v>122</v>
      </c>
      <c r="H16" s="27" t="str">
        <f aca="false">IFERROR(VLOOKUP(G16,CATEGORÍAS!$A$4:$C$100,2,FALSE()),"Por revisar")</f>
        <v>Gasto</v>
      </c>
      <c r="I16" s="27" t="str">
        <f aca="false">IFERROR(VLOOKUP(G16,CATEGORÍAS!$A$4:$C$100,3,FALSE()),"")</f>
        <v>Comida</v>
      </c>
      <c r="J16" s="49"/>
      <c r="K16" s="50" t="s">
        <v>145</v>
      </c>
    </row>
    <row r="17" customFormat="false" ht="15" hidden="false" customHeight="false" outlineLevel="0" collapsed="false">
      <c r="A17" s="46" t="n">
        <v>46281</v>
      </c>
      <c r="B17" s="47" t="n">
        <f aca="false">DATE(YEAR(A17),MONTH(A17),1)</f>
        <v>46266</v>
      </c>
      <c r="C17" s="5" t="s">
        <v>120</v>
      </c>
      <c r="D17" s="5" t="s">
        <v>146</v>
      </c>
      <c r="E17" s="48" t="n">
        <v>-36.84</v>
      </c>
      <c r="F17" s="5"/>
      <c r="G17" s="49" t="s">
        <v>130</v>
      </c>
      <c r="H17" s="27" t="str">
        <f aca="false">IFERROR(VLOOKUP(G17,CATEGORÍAS!$A$4:$C$100,2,FALSE()),"Por revisar")</f>
        <v>Gasto</v>
      </c>
      <c r="I17" s="27" t="str">
        <f aca="false">IFERROR(VLOOKUP(G17,CATEGORÍAS!$A$4:$C$100,3,FALSE()),"")</f>
        <v>Transporte</v>
      </c>
      <c r="J17" s="49"/>
      <c r="K17" s="50" t="s">
        <v>147</v>
      </c>
    </row>
    <row r="18" customFormat="false" ht="15" hidden="false" customHeight="false" outlineLevel="0" collapsed="false">
      <c r="A18" s="46" t="n">
        <v>46281</v>
      </c>
      <c r="B18" s="47" t="n">
        <f aca="false">DATE(YEAR(A18),MONTH(A18),1)</f>
        <v>46266</v>
      </c>
      <c r="C18" s="5" t="s">
        <v>120</v>
      </c>
      <c r="D18" s="5" t="s">
        <v>144</v>
      </c>
      <c r="E18" s="48" t="n">
        <v>-18.39</v>
      </c>
      <c r="F18" s="5"/>
      <c r="G18" s="49" t="s">
        <v>122</v>
      </c>
      <c r="H18" s="27" t="str">
        <f aca="false">IFERROR(VLOOKUP(G18,CATEGORÍAS!$A$4:$C$100,2,FALSE()),"Por revisar")</f>
        <v>Gasto</v>
      </c>
      <c r="I18" s="27" t="str">
        <f aca="false">IFERROR(VLOOKUP(G18,CATEGORÍAS!$A$4:$C$100,3,FALSE()),"")</f>
        <v>Comida</v>
      </c>
      <c r="J18" s="49"/>
      <c r="K18" s="50" t="s">
        <v>148</v>
      </c>
    </row>
    <row r="19" customFormat="false" ht="15" hidden="false" customHeight="false" outlineLevel="0" collapsed="false">
      <c r="A19" s="46" t="n">
        <v>46280</v>
      </c>
      <c r="B19" s="47" t="n">
        <f aca="false">DATE(YEAR(A19),MONTH(A19),1)</f>
        <v>46266</v>
      </c>
      <c r="C19" s="5" t="s">
        <v>120</v>
      </c>
      <c r="D19" s="5" t="s">
        <v>144</v>
      </c>
      <c r="E19" s="48" t="n">
        <v>-53.38</v>
      </c>
      <c r="F19" s="5"/>
      <c r="G19" s="49" t="s">
        <v>122</v>
      </c>
      <c r="H19" s="27" t="str">
        <f aca="false">IFERROR(VLOOKUP(G19,CATEGORÍAS!$A$4:$C$100,2,FALSE()),"Por revisar")</f>
        <v>Gasto</v>
      </c>
      <c r="I19" s="27" t="str">
        <f aca="false">IFERROR(VLOOKUP(G19,CATEGORÍAS!$A$4:$C$100,3,FALSE()),"")</f>
        <v>Comida</v>
      </c>
      <c r="J19" s="49"/>
      <c r="K19" s="50" t="s">
        <v>149</v>
      </c>
    </row>
    <row r="20" customFormat="false" ht="15" hidden="false" customHeight="false" outlineLevel="0" collapsed="false">
      <c r="A20" s="46" t="n">
        <v>46276</v>
      </c>
      <c r="B20" s="47" t="n">
        <f aca="false">DATE(YEAR(A20),MONTH(A20),1)</f>
        <v>46266</v>
      </c>
      <c r="C20" s="5" t="s">
        <v>120</v>
      </c>
      <c r="D20" s="5" t="s">
        <v>144</v>
      </c>
      <c r="E20" s="48" t="n">
        <v>-25.57</v>
      </c>
      <c r="F20" s="5"/>
      <c r="G20" s="49" t="s">
        <v>122</v>
      </c>
      <c r="H20" s="27" t="str">
        <f aca="false">IFERROR(VLOOKUP(G20,CATEGORÍAS!$A$4:$C$100,2,FALSE()),"Por revisar")</f>
        <v>Gasto</v>
      </c>
      <c r="I20" s="27" t="str">
        <f aca="false">IFERROR(VLOOKUP(G20,CATEGORÍAS!$A$4:$C$100,3,FALSE()),"")</f>
        <v>Comida</v>
      </c>
      <c r="J20" s="49"/>
      <c r="K20" s="50" t="s">
        <v>150</v>
      </c>
    </row>
    <row r="21" customFormat="false" ht="15" hidden="false" customHeight="false" outlineLevel="0" collapsed="false">
      <c r="A21" s="46" t="n">
        <v>46276</v>
      </c>
      <c r="B21" s="47" t="n">
        <f aca="false">DATE(YEAR(A21),MONTH(A21),1)</f>
        <v>46266</v>
      </c>
      <c r="C21" s="5" t="s">
        <v>91</v>
      </c>
      <c r="D21" s="5" t="s">
        <v>151</v>
      </c>
      <c r="E21" s="48" t="n">
        <v>29</v>
      </c>
      <c r="F21" s="48" t="n">
        <v>8354.16</v>
      </c>
      <c r="G21" s="49" t="s">
        <v>133</v>
      </c>
      <c r="H21" s="27" t="str">
        <f aca="false">IFERROR(VLOOKUP(G21,CATEGORÍAS!$A$4:$C$100,2,FALSE()),"Por revisar")</f>
        <v>Por revisar</v>
      </c>
      <c r="I21" s="27" t="n">
        <f aca="false">IFERROR(VLOOKUP(G21,CATEGORÍAS!$A$4:$C$100,3,FALSE()),"")</f>
        <v>0</v>
      </c>
      <c r="J21" s="49"/>
      <c r="K21" s="50" t="s">
        <v>152</v>
      </c>
    </row>
    <row r="22" customFormat="false" ht="15" hidden="false" customHeight="false" outlineLevel="0" collapsed="false">
      <c r="A22" s="46" t="n">
        <v>46274</v>
      </c>
      <c r="B22" s="47" t="n">
        <f aca="false">DATE(YEAR(A22),MONTH(A22),1)</f>
        <v>46266</v>
      </c>
      <c r="C22" s="5" t="s">
        <v>91</v>
      </c>
      <c r="D22" s="5" t="s">
        <v>153</v>
      </c>
      <c r="E22" s="48" t="n">
        <v>-12.99</v>
      </c>
      <c r="F22" s="48" t="n">
        <v>8325.16</v>
      </c>
      <c r="G22" s="49" t="s">
        <v>154</v>
      </c>
      <c r="H22" s="27" t="str">
        <f aca="false">IFERROR(VLOOKUP(G22,CATEGORÍAS!$A$4:$C$100,2,FALSE()),"Por revisar")</f>
        <v>Gasto</v>
      </c>
      <c r="I22" s="27" t="str">
        <f aca="false">IFERROR(VLOOKUP(G22,CATEGORÍAS!$A$4:$C$100,3,FALSE()),"")</f>
        <v>Personal</v>
      </c>
      <c r="J22" s="49"/>
      <c r="K22" s="50" t="s">
        <v>155</v>
      </c>
    </row>
    <row r="23" customFormat="false" ht="15" hidden="false" customHeight="false" outlineLevel="0" collapsed="false">
      <c r="A23" s="46" t="n">
        <v>46273</v>
      </c>
      <c r="B23" s="47" t="n">
        <f aca="false">DATE(YEAR(A23),MONTH(A23),1)</f>
        <v>46266</v>
      </c>
      <c r="C23" s="5" t="s">
        <v>91</v>
      </c>
      <c r="D23" s="5" t="s">
        <v>156</v>
      </c>
      <c r="E23" s="48" t="n">
        <v>-38.08</v>
      </c>
      <c r="F23" s="48" t="n">
        <v>8338.15</v>
      </c>
      <c r="G23" s="49" t="s">
        <v>157</v>
      </c>
      <c r="H23" s="27" t="str">
        <f aca="false">IFERROR(VLOOKUP(G23,CATEGORÍAS!$A$4:$C$100,2,FALSE()),"Por revisar")</f>
        <v>Gasto</v>
      </c>
      <c r="I23" s="27" t="str">
        <f aca="false">IFERROR(VLOOKUP(G23,CATEGORÍAS!$A$4:$C$100,3,FALSE()),"")</f>
        <v>Casa</v>
      </c>
      <c r="J23" s="49"/>
      <c r="K23" s="50" t="s">
        <v>158</v>
      </c>
    </row>
    <row r="24" customFormat="false" ht="15" hidden="false" customHeight="false" outlineLevel="0" collapsed="false">
      <c r="A24" s="46" t="n">
        <v>46272</v>
      </c>
      <c r="B24" s="47" t="n">
        <f aca="false">DATE(YEAR(A24),MONTH(A24),1)</f>
        <v>46266</v>
      </c>
      <c r="C24" s="5" t="s">
        <v>120</v>
      </c>
      <c r="D24" s="5" t="s">
        <v>159</v>
      </c>
      <c r="E24" s="48" t="n">
        <v>-8.55</v>
      </c>
      <c r="F24" s="5"/>
      <c r="G24" s="49" t="s">
        <v>160</v>
      </c>
      <c r="H24" s="27" t="str">
        <f aca="false">IFERROR(VLOOKUP(G24,CATEGORÍAS!$A$4:$C$100,2,FALSE()),"Por revisar")</f>
        <v>Gasto</v>
      </c>
      <c r="I24" s="27" t="str">
        <f aca="false">IFERROR(VLOOKUP(G24,CATEGORÍAS!$A$4:$C$100,3,FALSE()),"")</f>
        <v>Salud</v>
      </c>
      <c r="J24" s="49"/>
      <c r="K24" s="50" t="s">
        <v>161</v>
      </c>
    </row>
    <row r="25" customFormat="false" ht="15" hidden="false" customHeight="false" outlineLevel="0" collapsed="false">
      <c r="A25" s="46" t="n">
        <v>46271</v>
      </c>
      <c r="B25" s="47" t="n">
        <f aca="false">DATE(YEAR(A25),MONTH(A25),1)</f>
        <v>46266</v>
      </c>
      <c r="C25" s="5" t="s">
        <v>120</v>
      </c>
      <c r="D25" s="5" t="s">
        <v>124</v>
      </c>
      <c r="E25" s="48" t="n">
        <v>-5.77</v>
      </c>
      <c r="F25" s="5"/>
      <c r="G25" s="49" t="s">
        <v>125</v>
      </c>
      <c r="H25" s="27" t="str">
        <f aca="false">IFERROR(VLOOKUP(G25,CATEGORÍAS!$A$4:$C$100,2,FALSE()),"Por revisar")</f>
        <v>Gasto</v>
      </c>
      <c r="I25" s="27" t="str">
        <f aca="false">IFERROR(VLOOKUP(G25,CATEGORÍAS!$A$4:$C$100,3,FALSE()),"")</f>
        <v>Comida</v>
      </c>
      <c r="J25" s="49"/>
      <c r="K25" s="50" t="s">
        <v>162</v>
      </c>
    </row>
    <row r="26" customFormat="false" ht="15" hidden="false" customHeight="false" outlineLevel="0" collapsed="false">
      <c r="A26" s="46" t="n">
        <v>46271</v>
      </c>
      <c r="B26" s="47" t="n">
        <f aca="false">DATE(YEAR(A26),MONTH(A26),1)</f>
        <v>46266</v>
      </c>
      <c r="C26" s="5" t="s">
        <v>120</v>
      </c>
      <c r="D26" s="5" t="s">
        <v>124</v>
      </c>
      <c r="E26" s="48" t="n">
        <v>-5.98</v>
      </c>
      <c r="F26" s="5"/>
      <c r="G26" s="49" t="s">
        <v>125</v>
      </c>
      <c r="H26" s="27" t="str">
        <f aca="false">IFERROR(VLOOKUP(G26,CATEGORÍAS!$A$4:$C$100,2,FALSE()),"Por revisar")</f>
        <v>Gasto</v>
      </c>
      <c r="I26" s="27" t="str">
        <f aca="false">IFERROR(VLOOKUP(G26,CATEGORÍAS!$A$4:$C$100,3,FALSE()),"")</f>
        <v>Comida</v>
      </c>
      <c r="J26" s="49"/>
      <c r="K26" s="50" t="s">
        <v>163</v>
      </c>
    </row>
    <row r="27" customFormat="false" ht="15" hidden="false" customHeight="false" outlineLevel="0" collapsed="false">
      <c r="A27" s="46" t="n">
        <v>46271</v>
      </c>
      <c r="B27" s="47" t="n">
        <f aca="false">DATE(YEAR(A27),MONTH(A27),1)</f>
        <v>46266</v>
      </c>
      <c r="C27" s="5" t="s">
        <v>91</v>
      </c>
      <c r="D27" s="5" t="s">
        <v>164</v>
      </c>
      <c r="E27" s="48" t="n">
        <v>-14.95</v>
      </c>
      <c r="F27" s="48" t="n">
        <v>8376.23</v>
      </c>
      <c r="G27" s="49" t="s">
        <v>165</v>
      </c>
      <c r="H27" s="27" t="str">
        <f aca="false">IFERROR(VLOOKUP(G27,CATEGORÍAS!$A$4:$C$100,2,FALSE()),"Por revisar")</f>
        <v>Gasto</v>
      </c>
      <c r="I27" s="27" t="str">
        <f aca="false">IFERROR(VLOOKUP(G27,CATEGORÍAS!$A$4:$C$100,3,FALSE()),"")</f>
        <v>Personal</v>
      </c>
      <c r="J27" s="49"/>
      <c r="K27" s="50" t="s">
        <v>166</v>
      </c>
    </row>
    <row r="28" customFormat="false" ht="15" hidden="false" customHeight="false" outlineLevel="0" collapsed="false">
      <c r="A28" s="46" t="n">
        <v>46270</v>
      </c>
      <c r="B28" s="47" t="n">
        <f aca="false">DATE(YEAR(A28),MONTH(A28),1)</f>
        <v>46266</v>
      </c>
      <c r="C28" s="5" t="s">
        <v>91</v>
      </c>
      <c r="D28" s="5" t="s">
        <v>167</v>
      </c>
      <c r="E28" s="48" t="n">
        <v>-39.9</v>
      </c>
      <c r="F28" s="48" t="n">
        <v>8391.18</v>
      </c>
      <c r="G28" s="49" t="s">
        <v>168</v>
      </c>
      <c r="H28" s="27" t="str">
        <f aca="false">IFERROR(VLOOKUP(G28,CATEGORÍAS!$A$4:$C$100,2,FALSE()),"Por revisar")</f>
        <v>Gasto</v>
      </c>
      <c r="I28" s="27" t="str">
        <f aca="false">IFERROR(VLOOKUP(G28,CATEGORÍAS!$A$4:$C$100,3,FALSE()),"")</f>
        <v>Casa</v>
      </c>
      <c r="J28" s="49"/>
      <c r="K28" s="50" t="s">
        <v>169</v>
      </c>
    </row>
    <row r="29" customFormat="false" ht="15" hidden="false" customHeight="false" outlineLevel="0" collapsed="false">
      <c r="A29" s="46" t="n">
        <v>46270</v>
      </c>
      <c r="B29" s="47" t="n">
        <f aca="false">DATE(YEAR(A29),MONTH(A29),1)</f>
        <v>46266</v>
      </c>
      <c r="C29" s="5" t="s">
        <v>92</v>
      </c>
      <c r="D29" s="5" t="s">
        <v>170</v>
      </c>
      <c r="E29" s="48" t="n">
        <v>-417.87</v>
      </c>
      <c r="F29" s="48" t="n">
        <v>1449.9</v>
      </c>
      <c r="G29" s="49" t="s">
        <v>171</v>
      </c>
      <c r="H29" s="27" t="str">
        <f aca="false">IFERROR(VLOOKUP(G29,CATEGORÍAS!$A$4:$C$100,2,FALSE()),"Por revisar")</f>
        <v>Traspaso</v>
      </c>
      <c r="I29" s="27" t="str">
        <f aca="false">IFERROR(VLOOKUP(G29,CATEGORÍAS!$A$4:$C$100,3,FALSE()),"")</f>
        <v>Traspasos</v>
      </c>
      <c r="J29" s="49"/>
      <c r="K29" s="50" t="s">
        <v>172</v>
      </c>
    </row>
    <row r="30" customFormat="false" ht="15" hidden="false" customHeight="false" outlineLevel="0" collapsed="false">
      <c r="A30" s="46" t="n">
        <v>46269</v>
      </c>
      <c r="B30" s="47" t="n">
        <f aca="false">DATE(YEAR(A30),MONTH(A30),1)</f>
        <v>46266</v>
      </c>
      <c r="C30" s="5" t="s">
        <v>120</v>
      </c>
      <c r="D30" s="5" t="s">
        <v>173</v>
      </c>
      <c r="E30" s="48" t="n">
        <v>-10.55</v>
      </c>
      <c r="F30" s="5"/>
      <c r="G30" s="49" t="s">
        <v>174</v>
      </c>
      <c r="H30" s="27" t="str">
        <f aca="false">IFERROR(VLOOKUP(G30,CATEGORÍAS!$A$4:$C$100,2,FALSE()),"Por revisar")</f>
        <v>Gasto</v>
      </c>
      <c r="I30" s="27" t="str">
        <f aca="false">IFERROR(VLOOKUP(G30,CATEGORÍAS!$A$4:$C$100,3,FALSE()),"")</f>
        <v>Ocio</v>
      </c>
      <c r="J30" s="49"/>
      <c r="K30" s="50" t="s">
        <v>175</v>
      </c>
    </row>
    <row r="31" customFormat="false" ht="15" hidden="false" customHeight="false" outlineLevel="0" collapsed="false">
      <c r="A31" s="46" t="n">
        <v>46268</v>
      </c>
      <c r="B31" s="47" t="n">
        <f aca="false">DATE(YEAR(A31),MONTH(A31),1)</f>
        <v>46266</v>
      </c>
      <c r="C31" s="5" t="s">
        <v>120</v>
      </c>
      <c r="D31" s="5" t="s">
        <v>124</v>
      </c>
      <c r="E31" s="48" t="n">
        <v>-5.25</v>
      </c>
      <c r="F31" s="5"/>
      <c r="G31" s="49" t="s">
        <v>125</v>
      </c>
      <c r="H31" s="27" t="str">
        <f aca="false">IFERROR(VLOOKUP(G31,CATEGORÍAS!$A$4:$C$100,2,FALSE()),"Por revisar")</f>
        <v>Gasto</v>
      </c>
      <c r="I31" s="27" t="str">
        <f aca="false">IFERROR(VLOOKUP(G31,CATEGORÍAS!$A$4:$C$100,3,FALSE()),"")</f>
        <v>Comida</v>
      </c>
      <c r="J31" s="49"/>
      <c r="K31" s="50" t="s">
        <v>176</v>
      </c>
    </row>
    <row r="32" customFormat="false" ht="15" hidden="false" customHeight="false" outlineLevel="0" collapsed="false">
      <c r="A32" s="46" t="n">
        <v>46268</v>
      </c>
      <c r="B32" s="47" t="n">
        <f aca="false">DATE(YEAR(A32),MONTH(A32),1)</f>
        <v>46266</v>
      </c>
      <c r="C32" s="5" t="s">
        <v>91</v>
      </c>
      <c r="D32" s="5" t="s">
        <v>177</v>
      </c>
      <c r="E32" s="48" t="n">
        <v>-150</v>
      </c>
      <c r="F32" s="48" t="n">
        <v>8431.08</v>
      </c>
      <c r="G32" s="49" t="s">
        <v>178</v>
      </c>
      <c r="H32" s="27" t="str">
        <f aca="false">IFERROR(VLOOKUP(G32,CATEGORÍAS!$A$4:$C$100,2,FALSE()),"Por revisar")</f>
        <v>Gasto</v>
      </c>
      <c r="I32" s="27" t="str">
        <f aca="false">IFERROR(VLOOKUP(G32,CATEGORÍAS!$A$4:$C$100,3,FALSE()),"")</f>
        <v>Viajes</v>
      </c>
      <c r="J32" s="49"/>
      <c r="K32" s="50" t="s">
        <v>179</v>
      </c>
    </row>
    <row r="33" customFormat="false" ht="15" hidden="false" customHeight="false" outlineLevel="0" collapsed="false">
      <c r="A33" s="46" t="n">
        <v>46267</v>
      </c>
      <c r="B33" s="47" t="n">
        <f aca="false">DATE(YEAR(A33),MONTH(A33),1)</f>
        <v>46266</v>
      </c>
      <c r="C33" s="5" t="s">
        <v>91</v>
      </c>
      <c r="D33" s="5" t="s">
        <v>180</v>
      </c>
      <c r="E33" s="48" t="n">
        <v>-300</v>
      </c>
      <c r="F33" s="48" t="n">
        <v>9061.08</v>
      </c>
      <c r="G33" s="49" t="s">
        <v>181</v>
      </c>
      <c r="H33" s="27" t="str">
        <f aca="false">IFERROR(VLOOKUP(G33,CATEGORÍAS!$A$4:$C$100,2,FALSE()),"Por revisar")</f>
        <v>Traspaso</v>
      </c>
      <c r="I33" s="27" t="str">
        <f aca="false">IFERROR(VLOOKUP(G33,CATEGORÍAS!$A$4:$C$100,3,FALSE()),"")</f>
        <v>Traspasos</v>
      </c>
      <c r="J33" s="49"/>
      <c r="K33" s="50" t="s">
        <v>182</v>
      </c>
    </row>
    <row r="34" customFormat="false" ht="15" hidden="false" customHeight="false" outlineLevel="0" collapsed="false">
      <c r="A34" s="46" t="n">
        <v>46267</v>
      </c>
      <c r="B34" s="47" t="n">
        <f aca="false">DATE(YEAR(A34),MONTH(A34),1)</f>
        <v>46266</v>
      </c>
      <c r="C34" s="5" t="s">
        <v>91</v>
      </c>
      <c r="D34" s="5" t="s">
        <v>183</v>
      </c>
      <c r="E34" s="48" t="n">
        <v>-480</v>
      </c>
      <c r="F34" s="48" t="n">
        <v>8581.08</v>
      </c>
      <c r="G34" s="49" t="s">
        <v>181</v>
      </c>
      <c r="H34" s="27" t="str">
        <f aca="false">IFERROR(VLOOKUP(G34,CATEGORÍAS!$A$4:$C$100,2,FALSE()),"Por revisar")</f>
        <v>Traspaso</v>
      </c>
      <c r="I34" s="27" t="str">
        <f aca="false">IFERROR(VLOOKUP(G34,CATEGORÍAS!$A$4:$C$100,3,FALSE()),"")</f>
        <v>Traspasos</v>
      </c>
      <c r="J34" s="49"/>
      <c r="K34" s="50" t="s">
        <v>184</v>
      </c>
    </row>
    <row r="35" customFormat="false" ht="15" hidden="false" customHeight="false" outlineLevel="0" collapsed="false">
      <c r="A35" s="46" t="n">
        <v>46267</v>
      </c>
      <c r="B35" s="47" t="n">
        <f aca="false">DATE(YEAR(A35),MONTH(A35),1)</f>
        <v>46266</v>
      </c>
      <c r="C35" s="5" t="s">
        <v>93</v>
      </c>
      <c r="D35" s="5" t="s">
        <v>185</v>
      </c>
      <c r="E35" s="48" t="n">
        <v>300</v>
      </c>
      <c r="F35" s="48" t="n">
        <v>55971.02</v>
      </c>
      <c r="G35" s="49" t="s">
        <v>181</v>
      </c>
      <c r="H35" s="27" t="str">
        <f aca="false">IFERROR(VLOOKUP(G35,CATEGORÍAS!$A$4:$C$100,2,FALSE()),"Por revisar")</f>
        <v>Traspaso</v>
      </c>
      <c r="I35" s="27" t="str">
        <f aca="false">IFERROR(VLOOKUP(G35,CATEGORÍAS!$A$4:$C$100,3,FALSE()),"")</f>
        <v>Traspasos</v>
      </c>
      <c r="J35" s="49"/>
      <c r="K35" s="50" t="s">
        <v>186</v>
      </c>
    </row>
    <row r="36" customFormat="false" ht="15" hidden="false" customHeight="false" outlineLevel="0" collapsed="false">
      <c r="A36" s="46" t="n">
        <v>46267</v>
      </c>
      <c r="B36" s="47" t="n">
        <f aca="false">DATE(YEAR(A36),MONTH(A36),1)</f>
        <v>46266</v>
      </c>
      <c r="C36" s="5" t="s">
        <v>92</v>
      </c>
      <c r="D36" s="5" t="s">
        <v>185</v>
      </c>
      <c r="E36" s="48" t="n">
        <v>480</v>
      </c>
      <c r="F36" s="48" t="n">
        <v>1867.77</v>
      </c>
      <c r="G36" s="49" t="s">
        <v>181</v>
      </c>
      <c r="H36" s="27" t="str">
        <f aca="false">IFERROR(VLOOKUP(G36,CATEGORÍAS!$A$4:$C$100,2,FALSE()),"Por revisar")</f>
        <v>Traspaso</v>
      </c>
      <c r="I36" s="27" t="str">
        <f aca="false">IFERROR(VLOOKUP(G36,CATEGORÍAS!$A$4:$C$100,3,FALSE()),"")</f>
        <v>Traspasos</v>
      </c>
      <c r="J36" s="49"/>
      <c r="K36" s="50" t="s">
        <v>187</v>
      </c>
    </row>
    <row r="37" customFormat="false" ht="15" hidden="false" customHeight="false" outlineLevel="0" collapsed="false">
      <c r="A37" s="46" t="n">
        <v>46266</v>
      </c>
      <c r="B37" s="47" t="n">
        <f aca="false">DATE(YEAR(A37),MONTH(A37),1)</f>
        <v>46266</v>
      </c>
      <c r="C37" s="5" t="s">
        <v>91</v>
      </c>
      <c r="D37" s="5" t="s">
        <v>188</v>
      </c>
      <c r="E37" s="48" t="n">
        <v>-850</v>
      </c>
      <c r="F37" s="48" t="n">
        <v>9361.08</v>
      </c>
      <c r="G37" s="49" t="s">
        <v>189</v>
      </c>
      <c r="H37" s="27" t="str">
        <f aca="false">IFERROR(VLOOKUP(G37,CATEGORÍAS!$A$4:$C$100,2,FALSE()),"Por revisar")</f>
        <v>Gasto</v>
      </c>
      <c r="I37" s="27" t="str">
        <f aca="false">IFERROR(VLOOKUP(G37,CATEGORÍAS!$A$4:$C$100,3,FALSE()),"")</f>
        <v>Casa</v>
      </c>
      <c r="J37" s="49"/>
      <c r="K37" s="50" t="s">
        <v>190</v>
      </c>
    </row>
    <row r="38" customFormat="false" ht="15" hidden="false" customHeight="false" outlineLevel="0" collapsed="false">
      <c r="A38" s="46" t="n">
        <v>46265</v>
      </c>
      <c r="B38" s="47" t="n">
        <f aca="false">DATE(YEAR(A38),MONTH(A38),1)</f>
        <v>46235</v>
      </c>
      <c r="C38" s="5" t="s">
        <v>93</v>
      </c>
      <c r="D38" s="5" t="s">
        <v>114</v>
      </c>
      <c r="E38" s="48" t="n">
        <v>34.77</v>
      </c>
      <c r="F38" s="48" t="n">
        <v>55671.02</v>
      </c>
      <c r="G38" s="49" t="s">
        <v>115</v>
      </c>
      <c r="H38" s="27" t="str">
        <f aca="false">IFERROR(VLOOKUP(G38,CATEGORÍAS!$A$4:$C$100,2,FALSE()),"Por revisar")</f>
        <v>Ingreso</v>
      </c>
      <c r="I38" s="27" t="str">
        <f aca="false">IFERROR(VLOOKUP(G38,CATEGORÍAS!$A$4:$C$100,3,FALSE()),"")</f>
        <v>Ahorro</v>
      </c>
      <c r="J38" s="49"/>
      <c r="K38" s="50" t="s">
        <v>191</v>
      </c>
    </row>
    <row r="39" customFormat="false" ht="15" hidden="false" customHeight="false" outlineLevel="0" collapsed="false">
      <c r="A39" s="46" t="n">
        <v>46262</v>
      </c>
      <c r="B39" s="47" t="n">
        <f aca="false">DATE(YEAR(A39),MONTH(A39),1)</f>
        <v>46235</v>
      </c>
      <c r="C39" s="5" t="s">
        <v>120</v>
      </c>
      <c r="D39" s="5" t="s">
        <v>121</v>
      </c>
      <c r="E39" s="48" t="n">
        <v>-15.37</v>
      </c>
      <c r="F39" s="5"/>
      <c r="G39" s="49" t="s">
        <v>122</v>
      </c>
      <c r="H39" s="27" t="str">
        <f aca="false">IFERROR(VLOOKUP(G39,CATEGORÍAS!$A$4:$C$100,2,FALSE()),"Por revisar")</f>
        <v>Gasto</v>
      </c>
      <c r="I39" s="27" t="str">
        <f aca="false">IFERROR(VLOOKUP(G39,CATEGORÍAS!$A$4:$C$100,3,FALSE()),"")</f>
        <v>Comida</v>
      </c>
      <c r="J39" s="49"/>
      <c r="K39" s="50" t="s">
        <v>192</v>
      </c>
    </row>
    <row r="40" customFormat="false" ht="15" hidden="false" customHeight="false" outlineLevel="0" collapsed="false">
      <c r="A40" s="46" t="n">
        <v>46262</v>
      </c>
      <c r="B40" s="47" t="n">
        <f aca="false">DATE(YEAR(A40),MONTH(A40),1)</f>
        <v>46235</v>
      </c>
      <c r="C40" s="5" t="s">
        <v>91</v>
      </c>
      <c r="D40" s="5" t="s">
        <v>117</v>
      </c>
      <c r="E40" s="48" t="n">
        <v>2150</v>
      </c>
      <c r="F40" s="48" t="n">
        <v>10211.08</v>
      </c>
      <c r="G40" s="49" t="s">
        <v>118</v>
      </c>
      <c r="H40" s="27" t="str">
        <f aca="false">IFERROR(VLOOKUP(G40,CATEGORÍAS!$A$4:$C$100,2,FALSE()),"Por revisar")</f>
        <v>Ingreso</v>
      </c>
      <c r="I40" s="27" t="str">
        <f aca="false">IFERROR(VLOOKUP(G40,CATEGORÍAS!$A$4:$C$100,3,FALSE()),"")</f>
        <v>Trabajo</v>
      </c>
      <c r="J40" s="49"/>
      <c r="K40" s="50" t="s">
        <v>193</v>
      </c>
    </row>
    <row r="41" customFormat="false" ht="15" hidden="false" customHeight="false" outlineLevel="0" collapsed="false">
      <c r="A41" s="46" t="n">
        <v>46261</v>
      </c>
      <c r="B41" s="47" t="n">
        <f aca="false">DATE(YEAR(A41),MONTH(A41),1)</f>
        <v>46235</v>
      </c>
      <c r="C41" s="5" t="s">
        <v>120</v>
      </c>
      <c r="D41" s="5" t="s">
        <v>127</v>
      </c>
      <c r="E41" s="48" t="n">
        <v>-50.77</v>
      </c>
      <c r="F41" s="5"/>
      <c r="G41" s="49" t="s">
        <v>125</v>
      </c>
      <c r="H41" s="27" t="str">
        <f aca="false">IFERROR(VLOOKUP(G41,CATEGORÍAS!$A$4:$C$100,2,FALSE()),"Por revisar")</f>
        <v>Gasto</v>
      </c>
      <c r="I41" s="27" t="str">
        <f aca="false">IFERROR(VLOOKUP(G41,CATEGORÍAS!$A$4:$C$100,3,FALSE()),"")</f>
        <v>Comida</v>
      </c>
      <c r="J41" s="49"/>
      <c r="K41" s="50" t="s">
        <v>194</v>
      </c>
    </row>
    <row r="42" customFormat="false" ht="15" hidden="false" customHeight="false" outlineLevel="0" collapsed="false">
      <c r="A42" s="46" t="n">
        <v>46261</v>
      </c>
      <c r="B42" s="47" t="n">
        <f aca="false">DATE(YEAR(A42),MONTH(A42),1)</f>
        <v>46235</v>
      </c>
      <c r="C42" s="5" t="s">
        <v>120</v>
      </c>
      <c r="D42" s="5" t="s">
        <v>124</v>
      </c>
      <c r="E42" s="48" t="n">
        <v>-8.07</v>
      </c>
      <c r="F42" s="5"/>
      <c r="G42" s="49" t="s">
        <v>125</v>
      </c>
      <c r="H42" s="27" t="str">
        <f aca="false">IFERROR(VLOOKUP(G42,CATEGORÍAS!$A$4:$C$100,2,FALSE()),"Por revisar")</f>
        <v>Gasto</v>
      </c>
      <c r="I42" s="27" t="str">
        <f aca="false">IFERROR(VLOOKUP(G42,CATEGORÍAS!$A$4:$C$100,3,FALSE()),"")</f>
        <v>Comida</v>
      </c>
      <c r="J42" s="49"/>
      <c r="K42" s="50" t="s">
        <v>195</v>
      </c>
    </row>
    <row r="43" customFormat="false" ht="15" hidden="false" customHeight="false" outlineLevel="0" collapsed="false">
      <c r="A43" s="46" t="n">
        <v>46260</v>
      </c>
      <c r="B43" s="47" t="n">
        <f aca="false">DATE(YEAR(A43),MONTH(A43),1)</f>
        <v>46235</v>
      </c>
      <c r="C43" s="5" t="s">
        <v>120</v>
      </c>
      <c r="D43" s="5" t="s">
        <v>146</v>
      </c>
      <c r="E43" s="48" t="n">
        <v>-40.99</v>
      </c>
      <c r="F43" s="5"/>
      <c r="G43" s="49" t="s">
        <v>130</v>
      </c>
      <c r="H43" s="27" t="str">
        <f aca="false">IFERROR(VLOOKUP(G43,CATEGORÍAS!$A$4:$C$100,2,FALSE()),"Por revisar")</f>
        <v>Gasto</v>
      </c>
      <c r="I43" s="27" t="str">
        <f aca="false">IFERROR(VLOOKUP(G43,CATEGORÍAS!$A$4:$C$100,3,FALSE()),"")</f>
        <v>Transporte</v>
      </c>
      <c r="J43" s="49"/>
      <c r="K43" s="50" t="s">
        <v>196</v>
      </c>
    </row>
    <row r="44" customFormat="false" ht="15" hidden="false" customHeight="false" outlineLevel="0" collapsed="false">
      <c r="A44" s="46" t="n">
        <v>46260</v>
      </c>
      <c r="B44" s="47" t="n">
        <f aca="false">DATE(YEAR(A44),MONTH(A44),1)</f>
        <v>46235</v>
      </c>
      <c r="C44" s="5" t="s">
        <v>120</v>
      </c>
      <c r="D44" s="5" t="s">
        <v>124</v>
      </c>
      <c r="E44" s="48" t="n">
        <v>-8.1</v>
      </c>
      <c r="F44" s="5"/>
      <c r="G44" s="49" t="s">
        <v>125</v>
      </c>
      <c r="H44" s="27" t="str">
        <f aca="false">IFERROR(VLOOKUP(G44,CATEGORÍAS!$A$4:$C$100,2,FALSE()),"Por revisar")</f>
        <v>Gasto</v>
      </c>
      <c r="I44" s="27" t="str">
        <f aca="false">IFERROR(VLOOKUP(G44,CATEGORÍAS!$A$4:$C$100,3,FALSE()),"")</f>
        <v>Comida</v>
      </c>
      <c r="J44" s="49"/>
      <c r="K44" s="50" t="s">
        <v>197</v>
      </c>
    </row>
    <row r="45" customFormat="false" ht="15" hidden="false" customHeight="false" outlineLevel="0" collapsed="false">
      <c r="A45" s="46" t="n">
        <v>46260</v>
      </c>
      <c r="B45" s="47" t="n">
        <f aca="false">DATE(YEAR(A45),MONTH(A45),1)</f>
        <v>46235</v>
      </c>
      <c r="C45" s="5" t="s">
        <v>120</v>
      </c>
      <c r="D45" s="5" t="s">
        <v>144</v>
      </c>
      <c r="E45" s="48" t="n">
        <v>-27.07</v>
      </c>
      <c r="F45" s="5"/>
      <c r="G45" s="49" t="s">
        <v>122</v>
      </c>
      <c r="H45" s="27" t="str">
        <f aca="false">IFERROR(VLOOKUP(G45,CATEGORÍAS!$A$4:$C$100,2,FALSE()),"Por revisar")</f>
        <v>Gasto</v>
      </c>
      <c r="I45" s="27" t="str">
        <f aca="false">IFERROR(VLOOKUP(G45,CATEGORÍAS!$A$4:$C$100,3,FALSE()),"")</f>
        <v>Comida</v>
      </c>
      <c r="J45" s="49"/>
      <c r="K45" s="50" t="s">
        <v>198</v>
      </c>
    </row>
    <row r="46" customFormat="false" ht="15" hidden="false" customHeight="false" outlineLevel="0" collapsed="false">
      <c r="A46" s="46" t="n">
        <v>46260</v>
      </c>
      <c r="B46" s="47" t="n">
        <f aca="false">DATE(YEAR(A46),MONTH(A46),1)</f>
        <v>46235</v>
      </c>
      <c r="C46" s="5" t="s">
        <v>120</v>
      </c>
      <c r="D46" s="5" t="s">
        <v>129</v>
      </c>
      <c r="E46" s="48" t="n">
        <v>-20</v>
      </c>
      <c r="F46" s="5"/>
      <c r="G46" s="49" t="s">
        <v>130</v>
      </c>
      <c r="H46" s="27" t="str">
        <f aca="false">IFERROR(VLOOKUP(G46,CATEGORÍAS!$A$4:$C$100,2,FALSE()),"Por revisar")</f>
        <v>Gasto</v>
      </c>
      <c r="I46" s="27" t="str">
        <f aca="false">IFERROR(VLOOKUP(G46,CATEGORÍAS!$A$4:$C$100,3,FALSE()),"")</f>
        <v>Transporte</v>
      </c>
      <c r="J46" s="49"/>
      <c r="K46" s="50" t="s">
        <v>199</v>
      </c>
    </row>
    <row r="47" customFormat="false" ht="15" hidden="false" customHeight="false" outlineLevel="0" collapsed="false">
      <c r="A47" s="46" t="n">
        <v>46258</v>
      </c>
      <c r="B47" s="47" t="n">
        <f aca="false">DATE(YEAR(A47),MONTH(A47),1)</f>
        <v>46235</v>
      </c>
      <c r="C47" s="5" t="s">
        <v>91</v>
      </c>
      <c r="D47" s="5" t="s">
        <v>200</v>
      </c>
      <c r="E47" s="48" t="n">
        <v>23</v>
      </c>
      <c r="F47" s="48" t="n">
        <v>8061.08</v>
      </c>
      <c r="G47" s="49" t="s">
        <v>201</v>
      </c>
      <c r="H47" s="27" t="str">
        <f aca="false">IFERROR(VLOOKUP(G47,CATEGORÍAS!$A$4:$C$100,2,FALSE()),"Por revisar")</f>
        <v>Gasto</v>
      </c>
      <c r="I47" s="27" t="str">
        <f aca="false">IFERROR(VLOOKUP(G47,CATEGORÍAS!$A$4:$C$100,3,FALSE()),"")</f>
        <v>Comida</v>
      </c>
      <c r="J47" s="49"/>
      <c r="K47" s="50" t="s">
        <v>202</v>
      </c>
    </row>
    <row r="48" customFormat="false" ht="15" hidden="false" customHeight="false" outlineLevel="0" collapsed="false">
      <c r="A48" s="46" t="n">
        <v>46257</v>
      </c>
      <c r="B48" s="47" t="n">
        <f aca="false">DATE(YEAR(A48),MONTH(A48),1)</f>
        <v>46235</v>
      </c>
      <c r="C48" s="5" t="s">
        <v>120</v>
      </c>
      <c r="D48" s="5" t="s">
        <v>124</v>
      </c>
      <c r="E48" s="48" t="n">
        <v>-5.68</v>
      </c>
      <c r="F48" s="5"/>
      <c r="G48" s="49" t="s">
        <v>125</v>
      </c>
      <c r="H48" s="27" t="str">
        <f aca="false">IFERROR(VLOOKUP(G48,CATEGORÍAS!$A$4:$C$100,2,FALSE()),"Por revisar")</f>
        <v>Gasto</v>
      </c>
      <c r="I48" s="27" t="str">
        <f aca="false">IFERROR(VLOOKUP(G48,CATEGORÍAS!$A$4:$C$100,3,FALSE()),"")</f>
        <v>Comida</v>
      </c>
      <c r="J48" s="49"/>
      <c r="K48" s="50" t="s">
        <v>203</v>
      </c>
    </row>
    <row r="49" customFormat="false" ht="15" hidden="false" customHeight="false" outlineLevel="0" collapsed="false">
      <c r="A49" s="46" t="n">
        <v>46257</v>
      </c>
      <c r="B49" s="47" t="n">
        <f aca="false">DATE(YEAR(A49),MONTH(A49),1)</f>
        <v>46235</v>
      </c>
      <c r="C49" s="5" t="s">
        <v>120</v>
      </c>
      <c r="D49" s="5" t="s">
        <v>173</v>
      </c>
      <c r="E49" s="48" t="n">
        <v>-9.48</v>
      </c>
      <c r="F49" s="5"/>
      <c r="G49" s="49" t="s">
        <v>174</v>
      </c>
      <c r="H49" s="27" t="str">
        <f aca="false">IFERROR(VLOOKUP(G49,CATEGORÍAS!$A$4:$C$100,2,FALSE()),"Por revisar")</f>
        <v>Gasto</v>
      </c>
      <c r="I49" s="27" t="str">
        <f aca="false">IFERROR(VLOOKUP(G49,CATEGORÍAS!$A$4:$C$100,3,FALSE()),"")</f>
        <v>Ocio</v>
      </c>
      <c r="J49" s="49"/>
      <c r="K49" s="50" t="s">
        <v>204</v>
      </c>
    </row>
    <row r="50" customFormat="false" ht="15" hidden="false" customHeight="false" outlineLevel="0" collapsed="false">
      <c r="A50" s="46" t="n">
        <v>46251</v>
      </c>
      <c r="B50" s="47" t="n">
        <f aca="false">DATE(YEAR(A50),MONTH(A50),1)</f>
        <v>46235</v>
      </c>
      <c r="C50" s="5" t="s">
        <v>120</v>
      </c>
      <c r="D50" s="5" t="s">
        <v>144</v>
      </c>
      <c r="E50" s="48" t="n">
        <v>-45.07</v>
      </c>
      <c r="F50" s="5"/>
      <c r="G50" s="49" t="s">
        <v>122</v>
      </c>
      <c r="H50" s="27" t="str">
        <f aca="false">IFERROR(VLOOKUP(G50,CATEGORÍAS!$A$4:$C$100,2,FALSE()),"Por revisar")</f>
        <v>Gasto</v>
      </c>
      <c r="I50" s="27" t="str">
        <f aca="false">IFERROR(VLOOKUP(G50,CATEGORÍAS!$A$4:$C$100,3,FALSE()),"")</f>
        <v>Comida</v>
      </c>
      <c r="J50" s="49"/>
      <c r="K50" s="50" t="s">
        <v>205</v>
      </c>
    </row>
    <row r="51" customFormat="false" ht="15" hidden="false" customHeight="false" outlineLevel="0" collapsed="false">
      <c r="A51" s="46" t="n">
        <v>46249</v>
      </c>
      <c r="B51" s="47" t="n">
        <f aca="false">DATE(YEAR(A51),MONTH(A51),1)</f>
        <v>46235</v>
      </c>
      <c r="C51" s="5" t="s">
        <v>120</v>
      </c>
      <c r="D51" s="5" t="s">
        <v>121</v>
      </c>
      <c r="E51" s="48" t="n">
        <v>-11.37</v>
      </c>
      <c r="F51" s="5"/>
      <c r="G51" s="49" t="s">
        <v>122</v>
      </c>
      <c r="H51" s="27" t="str">
        <f aca="false">IFERROR(VLOOKUP(G51,CATEGORÍAS!$A$4:$C$100,2,FALSE()),"Por revisar")</f>
        <v>Gasto</v>
      </c>
      <c r="I51" s="27" t="str">
        <f aca="false">IFERROR(VLOOKUP(G51,CATEGORÍAS!$A$4:$C$100,3,FALSE()),"")</f>
        <v>Comida</v>
      </c>
      <c r="J51" s="49"/>
      <c r="K51" s="50" t="s">
        <v>206</v>
      </c>
    </row>
    <row r="52" customFormat="false" ht="15" hidden="false" customHeight="false" outlineLevel="0" collapsed="false">
      <c r="A52" s="46" t="n">
        <v>46247</v>
      </c>
      <c r="B52" s="47" t="n">
        <f aca="false">DATE(YEAR(A52),MONTH(A52),1)</f>
        <v>46235</v>
      </c>
      <c r="C52" s="5" t="s">
        <v>120</v>
      </c>
      <c r="D52" s="5" t="s">
        <v>124</v>
      </c>
      <c r="E52" s="48" t="n">
        <v>-5.96</v>
      </c>
      <c r="F52" s="5"/>
      <c r="G52" s="49" t="s">
        <v>125</v>
      </c>
      <c r="H52" s="27" t="str">
        <f aca="false">IFERROR(VLOOKUP(G52,CATEGORÍAS!$A$4:$C$100,2,FALSE()),"Por revisar")</f>
        <v>Gasto</v>
      </c>
      <c r="I52" s="27" t="str">
        <f aca="false">IFERROR(VLOOKUP(G52,CATEGORÍAS!$A$4:$C$100,3,FALSE()),"")</f>
        <v>Comida</v>
      </c>
      <c r="J52" s="49"/>
      <c r="K52" s="50" t="s">
        <v>207</v>
      </c>
    </row>
    <row r="53" customFormat="false" ht="15" hidden="false" customHeight="false" outlineLevel="0" collapsed="false">
      <c r="A53" s="46" t="n">
        <v>46246</v>
      </c>
      <c r="B53" s="47" t="n">
        <f aca="false">DATE(YEAR(A53),MONTH(A53),1)</f>
        <v>46235</v>
      </c>
      <c r="C53" s="5" t="s">
        <v>120</v>
      </c>
      <c r="D53" s="5" t="s">
        <v>135</v>
      </c>
      <c r="E53" s="48" t="n">
        <v>-18.14</v>
      </c>
      <c r="F53" s="5"/>
      <c r="G53" s="49" t="s">
        <v>136</v>
      </c>
      <c r="H53" s="27" t="str">
        <f aca="false">IFERROR(VLOOKUP(G53,CATEGORÍAS!$A$4:$C$100,2,FALSE()),"Por revisar")</f>
        <v>Gasto</v>
      </c>
      <c r="I53" s="27" t="str">
        <f aca="false">IFERROR(VLOOKUP(G53,CATEGORÍAS!$A$4:$C$100,3,FALSE()),"")</f>
        <v>Personal</v>
      </c>
      <c r="J53" s="49"/>
      <c r="K53" s="50" t="s">
        <v>208</v>
      </c>
    </row>
    <row r="54" customFormat="false" ht="15" hidden="false" customHeight="false" outlineLevel="0" collapsed="false">
      <c r="A54" s="46" t="n">
        <v>46246</v>
      </c>
      <c r="B54" s="47" t="n">
        <f aca="false">DATE(YEAR(A54),MONTH(A54),1)</f>
        <v>46235</v>
      </c>
      <c r="C54" s="5" t="s">
        <v>91</v>
      </c>
      <c r="D54" s="5" t="s">
        <v>209</v>
      </c>
      <c r="E54" s="48" t="n">
        <v>-37.55</v>
      </c>
      <c r="F54" s="48" t="n">
        <v>8038.08</v>
      </c>
      <c r="G54" s="49" t="s">
        <v>210</v>
      </c>
      <c r="H54" s="27" t="str">
        <f aca="false">IFERROR(VLOOKUP(G54,CATEGORÍAS!$A$4:$C$100,2,FALSE()),"Por revisar")</f>
        <v>Gasto</v>
      </c>
      <c r="I54" s="27" t="str">
        <f aca="false">IFERROR(VLOOKUP(G54,CATEGORÍAS!$A$4:$C$100,3,FALSE()),"")</f>
        <v>Casa</v>
      </c>
      <c r="J54" s="49"/>
      <c r="K54" s="50" t="s">
        <v>211</v>
      </c>
    </row>
    <row r="55" customFormat="false" ht="15" hidden="false" customHeight="false" outlineLevel="0" collapsed="false">
      <c r="A55" s="46" t="n">
        <v>46245</v>
      </c>
      <c r="B55" s="47" t="n">
        <f aca="false">DATE(YEAR(A55),MONTH(A55),1)</f>
        <v>46235</v>
      </c>
      <c r="C55" s="5" t="s">
        <v>91</v>
      </c>
      <c r="D55" s="5" t="s">
        <v>151</v>
      </c>
      <c r="E55" s="48" t="n">
        <v>27</v>
      </c>
      <c r="F55" s="48" t="n">
        <v>8075.63</v>
      </c>
      <c r="G55" s="49" t="s">
        <v>201</v>
      </c>
      <c r="H55" s="27" t="str">
        <f aca="false">IFERROR(VLOOKUP(G55,CATEGORÍAS!$A$4:$C$100,2,FALSE()),"Por revisar")</f>
        <v>Gasto</v>
      </c>
      <c r="I55" s="27" t="str">
        <f aca="false">IFERROR(VLOOKUP(G55,CATEGORÍAS!$A$4:$C$100,3,FALSE()),"")</f>
        <v>Comida</v>
      </c>
      <c r="J55" s="49"/>
      <c r="K55" s="50" t="s">
        <v>212</v>
      </c>
    </row>
    <row r="56" customFormat="false" ht="15" hidden="false" customHeight="false" outlineLevel="0" collapsed="false">
      <c r="A56" s="46" t="n">
        <v>46243</v>
      </c>
      <c r="B56" s="47" t="n">
        <f aca="false">DATE(YEAR(A56),MONTH(A56),1)</f>
        <v>46235</v>
      </c>
      <c r="C56" s="5" t="s">
        <v>91</v>
      </c>
      <c r="D56" s="5" t="s">
        <v>153</v>
      </c>
      <c r="E56" s="48" t="n">
        <v>-12.99</v>
      </c>
      <c r="F56" s="48" t="n">
        <v>8048.63</v>
      </c>
      <c r="G56" s="49" t="s">
        <v>154</v>
      </c>
      <c r="H56" s="27" t="str">
        <f aca="false">IFERROR(VLOOKUP(G56,CATEGORÍAS!$A$4:$C$100,2,FALSE()),"Por revisar")</f>
        <v>Gasto</v>
      </c>
      <c r="I56" s="27" t="str">
        <f aca="false">IFERROR(VLOOKUP(G56,CATEGORÍAS!$A$4:$C$100,3,FALSE()),"")</f>
        <v>Personal</v>
      </c>
      <c r="J56" s="49"/>
      <c r="K56" s="50" t="s">
        <v>213</v>
      </c>
    </row>
    <row r="57" customFormat="false" ht="15" hidden="false" customHeight="false" outlineLevel="0" collapsed="false">
      <c r="A57" s="46" t="n">
        <v>46242</v>
      </c>
      <c r="B57" s="47" t="n">
        <f aca="false">DATE(YEAR(A57),MONTH(A57),1)</f>
        <v>46235</v>
      </c>
      <c r="C57" s="5" t="s">
        <v>91</v>
      </c>
      <c r="D57" s="5" t="s">
        <v>156</v>
      </c>
      <c r="E57" s="48" t="n">
        <v>-77.32</v>
      </c>
      <c r="F57" s="48" t="n">
        <v>8061.62</v>
      </c>
      <c r="G57" s="49" t="s">
        <v>157</v>
      </c>
      <c r="H57" s="27" t="str">
        <f aca="false">IFERROR(VLOOKUP(G57,CATEGORÍAS!$A$4:$C$100,2,FALSE()),"Por revisar")</f>
        <v>Gasto</v>
      </c>
      <c r="I57" s="27" t="str">
        <f aca="false">IFERROR(VLOOKUP(G57,CATEGORÍAS!$A$4:$C$100,3,FALSE()),"")</f>
        <v>Casa</v>
      </c>
      <c r="J57" s="49"/>
      <c r="K57" s="50" t="s">
        <v>214</v>
      </c>
    </row>
    <row r="58" customFormat="false" ht="15" hidden="false" customHeight="false" outlineLevel="0" collapsed="false">
      <c r="A58" s="46" t="n">
        <v>46241</v>
      </c>
      <c r="B58" s="47" t="n">
        <f aca="false">DATE(YEAR(A58),MONTH(A58),1)</f>
        <v>46235</v>
      </c>
      <c r="C58" s="5" t="s">
        <v>120</v>
      </c>
      <c r="D58" s="5" t="s">
        <v>124</v>
      </c>
      <c r="E58" s="48" t="n">
        <v>-3.49</v>
      </c>
      <c r="F58" s="5"/>
      <c r="G58" s="49" t="s">
        <v>125</v>
      </c>
      <c r="H58" s="27" t="str">
        <f aca="false">IFERROR(VLOOKUP(G58,CATEGORÍAS!$A$4:$C$100,2,FALSE()),"Por revisar")</f>
        <v>Gasto</v>
      </c>
      <c r="I58" s="27" t="str">
        <f aca="false">IFERROR(VLOOKUP(G58,CATEGORÍAS!$A$4:$C$100,3,FALSE()),"")</f>
        <v>Comida</v>
      </c>
      <c r="J58" s="49"/>
      <c r="K58" s="50" t="s">
        <v>215</v>
      </c>
    </row>
    <row r="59" customFormat="false" ht="15" hidden="false" customHeight="false" outlineLevel="0" collapsed="false">
      <c r="A59" s="46" t="n">
        <v>46240</v>
      </c>
      <c r="B59" s="47" t="n">
        <f aca="false">DATE(YEAR(A59),MONTH(A59),1)</f>
        <v>46235</v>
      </c>
      <c r="C59" s="5" t="s">
        <v>120</v>
      </c>
      <c r="D59" s="5" t="s">
        <v>144</v>
      </c>
      <c r="E59" s="48" t="n">
        <v>-22.06</v>
      </c>
      <c r="F59" s="5"/>
      <c r="G59" s="49" t="s">
        <v>122</v>
      </c>
      <c r="H59" s="27" t="str">
        <f aca="false">IFERROR(VLOOKUP(G59,CATEGORÍAS!$A$4:$C$100,2,FALSE()),"Por revisar")</f>
        <v>Gasto</v>
      </c>
      <c r="I59" s="27" t="str">
        <f aca="false">IFERROR(VLOOKUP(G59,CATEGORÍAS!$A$4:$C$100,3,FALSE()),"")</f>
        <v>Comida</v>
      </c>
      <c r="J59" s="49"/>
      <c r="K59" s="50" t="s">
        <v>216</v>
      </c>
    </row>
    <row r="60" customFormat="false" ht="15" hidden="false" customHeight="false" outlineLevel="0" collapsed="false">
      <c r="A60" s="46" t="n">
        <v>46240</v>
      </c>
      <c r="B60" s="47" t="n">
        <f aca="false">DATE(YEAR(A60),MONTH(A60),1)</f>
        <v>46235</v>
      </c>
      <c r="C60" s="5" t="s">
        <v>91</v>
      </c>
      <c r="D60" s="5" t="s">
        <v>164</v>
      </c>
      <c r="E60" s="48" t="n">
        <v>-14.95</v>
      </c>
      <c r="F60" s="48" t="n">
        <v>8138.94</v>
      </c>
      <c r="G60" s="49" t="s">
        <v>165</v>
      </c>
      <c r="H60" s="27" t="str">
        <f aca="false">IFERROR(VLOOKUP(G60,CATEGORÍAS!$A$4:$C$100,2,FALSE()),"Por revisar")</f>
        <v>Gasto</v>
      </c>
      <c r="I60" s="27" t="str">
        <f aca="false">IFERROR(VLOOKUP(G60,CATEGORÍAS!$A$4:$C$100,3,FALSE()),"")</f>
        <v>Personal</v>
      </c>
      <c r="J60" s="49"/>
      <c r="K60" s="50" t="s">
        <v>217</v>
      </c>
    </row>
    <row r="61" customFormat="false" ht="15" hidden="false" customHeight="false" outlineLevel="0" collapsed="false">
      <c r="A61" s="46" t="n">
        <v>46239</v>
      </c>
      <c r="B61" s="47" t="n">
        <f aca="false">DATE(YEAR(A61),MONTH(A61),1)</f>
        <v>46235</v>
      </c>
      <c r="C61" s="5" t="s">
        <v>120</v>
      </c>
      <c r="D61" s="5" t="s">
        <v>159</v>
      </c>
      <c r="E61" s="48" t="n">
        <v>-11.89</v>
      </c>
      <c r="F61" s="5"/>
      <c r="G61" s="49" t="s">
        <v>160</v>
      </c>
      <c r="H61" s="27" t="str">
        <f aca="false">IFERROR(VLOOKUP(G61,CATEGORÍAS!$A$4:$C$100,2,FALSE()),"Por revisar")</f>
        <v>Gasto</v>
      </c>
      <c r="I61" s="27" t="str">
        <f aca="false">IFERROR(VLOOKUP(G61,CATEGORÍAS!$A$4:$C$100,3,FALSE()),"")</f>
        <v>Salud</v>
      </c>
      <c r="J61" s="49"/>
      <c r="K61" s="50" t="s">
        <v>218</v>
      </c>
    </row>
    <row r="62" customFormat="false" ht="15" hidden="false" customHeight="false" outlineLevel="0" collapsed="false">
      <c r="A62" s="46" t="n">
        <v>46239</v>
      </c>
      <c r="B62" s="47" t="n">
        <f aca="false">DATE(YEAR(A62),MONTH(A62),1)</f>
        <v>46235</v>
      </c>
      <c r="C62" s="5" t="s">
        <v>120</v>
      </c>
      <c r="D62" s="5" t="s">
        <v>127</v>
      </c>
      <c r="E62" s="48" t="n">
        <v>-48.23</v>
      </c>
      <c r="F62" s="5"/>
      <c r="G62" s="49" t="s">
        <v>125</v>
      </c>
      <c r="H62" s="27" t="str">
        <f aca="false">IFERROR(VLOOKUP(G62,CATEGORÍAS!$A$4:$C$100,2,FALSE()),"Por revisar")</f>
        <v>Gasto</v>
      </c>
      <c r="I62" s="27" t="str">
        <f aca="false">IFERROR(VLOOKUP(G62,CATEGORÍAS!$A$4:$C$100,3,FALSE()),"")</f>
        <v>Comida</v>
      </c>
      <c r="J62" s="49"/>
      <c r="K62" s="50" t="s">
        <v>219</v>
      </c>
    </row>
    <row r="63" customFormat="false" ht="15" hidden="false" customHeight="false" outlineLevel="0" collapsed="false">
      <c r="A63" s="46" t="n">
        <v>46239</v>
      </c>
      <c r="B63" s="47" t="n">
        <f aca="false">DATE(YEAR(A63),MONTH(A63),1)</f>
        <v>46235</v>
      </c>
      <c r="C63" s="5" t="s">
        <v>91</v>
      </c>
      <c r="D63" s="5" t="s">
        <v>167</v>
      </c>
      <c r="E63" s="48" t="n">
        <v>-39.9</v>
      </c>
      <c r="F63" s="48" t="n">
        <v>8153.89</v>
      </c>
      <c r="G63" s="49" t="s">
        <v>168</v>
      </c>
      <c r="H63" s="27" t="str">
        <f aca="false">IFERROR(VLOOKUP(G63,CATEGORÍAS!$A$4:$C$100,2,FALSE()),"Por revisar")</f>
        <v>Gasto</v>
      </c>
      <c r="I63" s="27" t="str">
        <f aca="false">IFERROR(VLOOKUP(G63,CATEGORÍAS!$A$4:$C$100,3,FALSE()),"")</f>
        <v>Casa</v>
      </c>
      <c r="J63" s="49"/>
      <c r="K63" s="50" t="s">
        <v>220</v>
      </c>
    </row>
    <row r="64" customFormat="false" ht="15" hidden="false" customHeight="false" outlineLevel="0" collapsed="false">
      <c r="A64" s="46" t="n">
        <v>46239</v>
      </c>
      <c r="B64" s="47" t="n">
        <f aca="false">DATE(YEAR(A64),MONTH(A64),1)</f>
        <v>46235</v>
      </c>
      <c r="C64" s="5" t="s">
        <v>92</v>
      </c>
      <c r="D64" s="5" t="s">
        <v>170</v>
      </c>
      <c r="E64" s="48" t="n">
        <v>-489.08</v>
      </c>
      <c r="F64" s="48" t="n">
        <v>1387.77</v>
      </c>
      <c r="G64" s="49" t="s">
        <v>171</v>
      </c>
      <c r="H64" s="27" t="str">
        <f aca="false">IFERROR(VLOOKUP(G64,CATEGORÍAS!$A$4:$C$100,2,FALSE()),"Por revisar")</f>
        <v>Traspaso</v>
      </c>
      <c r="I64" s="27" t="str">
        <f aca="false">IFERROR(VLOOKUP(G64,CATEGORÍAS!$A$4:$C$100,3,FALSE()),"")</f>
        <v>Traspasos</v>
      </c>
      <c r="J64" s="49"/>
      <c r="K64" s="50" t="s">
        <v>221</v>
      </c>
    </row>
    <row r="65" customFormat="false" ht="15" hidden="false" customHeight="false" outlineLevel="0" collapsed="false">
      <c r="A65" s="46" t="n">
        <v>46238</v>
      </c>
      <c r="B65" s="47" t="n">
        <f aca="false">DATE(YEAR(A65),MONTH(A65),1)</f>
        <v>46235</v>
      </c>
      <c r="C65" s="5" t="s">
        <v>120</v>
      </c>
      <c r="D65" s="5" t="s">
        <v>144</v>
      </c>
      <c r="E65" s="48" t="n">
        <v>-66.13</v>
      </c>
      <c r="F65" s="5"/>
      <c r="G65" s="49" t="s">
        <v>122</v>
      </c>
      <c r="H65" s="27" t="str">
        <f aca="false">IFERROR(VLOOKUP(G65,CATEGORÍAS!$A$4:$C$100,2,FALSE()),"Por revisar")</f>
        <v>Gasto</v>
      </c>
      <c r="I65" s="27" t="str">
        <f aca="false">IFERROR(VLOOKUP(G65,CATEGORÍAS!$A$4:$C$100,3,FALSE()),"")</f>
        <v>Comida</v>
      </c>
      <c r="J65" s="49"/>
      <c r="K65" s="50" t="s">
        <v>222</v>
      </c>
    </row>
    <row r="66" customFormat="false" ht="15" hidden="false" customHeight="false" outlineLevel="0" collapsed="false">
      <c r="A66" s="46" t="n">
        <v>46237</v>
      </c>
      <c r="B66" s="47" t="n">
        <f aca="false">DATE(YEAR(A66),MONTH(A66),1)</f>
        <v>46235</v>
      </c>
      <c r="C66" s="5" t="s">
        <v>91</v>
      </c>
      <c r="D66" s="5" t="s">
        <v>177</v>
      </c>
      <c r="E66" s="48" t="n">
        <v>-150</v>
      </c>
      <c r="F66" s="48" t="n">
        <v>8193.79</v>
      </c>
      <c r="G66" s="49" t="s">
        <v>178</v>
      </c>
      <c r="H66" s="27" t="str">
        <f aca="false">IFERROR(VLOOKUP(G66,CATEGORÍAS!$A$4:$C$100,2,FALSE()),"Por revisar")</f>
        <v>Gasto</v>
      </c>
      <c r="I66" s="27" t="str">
        <f aca="false">IFERROR(VLOOKUP(G66,CATEGORÍAS!$A$4:$C$100,3,FALSE()),"")</f>
        <v>Viajes</v>
      </c>
      <c r="J66" s="49"/>
      <c r="K66" s="50" t="s">
        <v>223</v>
      </c>
    </row>
    <row r="67" customFormat="false" ht="15" hidden="false" customHeight="false" outlineLevel="0" collapsed="false">
      <c r="A67" s="46" t="n">
        <v>46236</v>
      </c>
      <c r="B67" s="47" t="n">
        <f aca="false">DATE(YEAR(A67),MONTH(A67),1)</f>
        <v>46235</v>
      </c>
      <c r="C67" s="5" t="s">
        <v>91</v>
      </c>
      <c r="D67" s="5" t="s">
        <v>180</v>
      </c>
      <c r="E67" s="48" t="n">
        <v>-300</v>
      </c>
      <c r="F67" s="48" t="n">
        <v>8823.79</v>
      </c>
      <c r="G67" s="49" t="s">
        <v>181</v>
      </c>
      <c r="H67" s="27" t="str">
        <f aca="false">IFERROR(VLOOKUP(G67,CATEGORÍAS!$A$4:$C$100,2,FALSE()),"Por revisar")</f>
        <v>Traspaso</v>
      </c>
      <c r="I67" s="27" t="str">
        <f aca="false">IFERROR(VLOOKUP(G67,CATEGORÍAS!$A$4:$C$100,3,FALSE()),"")</f>
        <v>Traspasos</v>
      </c>
      <c r="J67" s="49"/>
      <c r="K67" s="50" t="s">
        <v>224</v>
      </c>
    </row>
    <row r="68" customFormat="false" ht="15" hidden="false" customHeight="false" outlineLevel="0" collapsed="false">
      <c r="A68" s="46" t="n">
        <v>46236</v>
      </c>
      <c r="B68" s="47" t="n">
        <f aca="false">DATE(YEAR(A68),MONTH(A68),1)</f>
        <v>46235</v>
      </c>
      <c r="C68" s="5" t="s">
        <v>91</v>
      </c>
      <c r="D68" s="5" t="s">
        <v>183</v>
      </c>
      <c r="E68" s="48" t="n">
        <v>-480</v>
      </c>
      <c r="F68" s="48" t="n">
        <v>8343.79</v>
      </c>
      <c r="G68" s="49" t="s">
        <v>181</v>
      </c>
      <c r="H68" s="27" t="str">
        <f aca="false">IFERROR(VLOOKUP(G68,CATEGORÍAS!$A$4:$C$100,2,FALSE()),"Por revisar")</f>
        <v>Traspaso</v>
      </c>
      <c r="I68" s="27" t="str">
        <f aca="false">IFERROR(VLOOKUP(G68,CATEGORÍAS!$A$4:$C$100,3,FALSE()),"")</f>
        <v>Traspasos</v>
      </c>
      <c r="J68" s="49"/>
      <c r="K68" s="50" t="s">
        <v>225</v>
      </c>
    </row>
    <row r="69" customFormat="false" ht="15" hidden="false" customHeight="false" outlineLevel="0" collapsed="false">
      <c r="A69" s="46" t="n">
        <v>46236</v>
      </c>
      <c r="B69" s="47" t="n">
        <f aca="false">DATE(YEAR(A69),MONTH(A69),1)</f>
        <v>46235</v>
      </c>
      <c r="C69" s="5" t="s">
        <v>93</v>
      </c>
      <c r="D69" s="5" t="s">
        <v>185</v>
      </c>
      <c r="E69" s="48" t="n">
        <v>300</v>
      </c>
      <c r="F69" s="48" t="n">
        <v>55636.25</v>
      </c>
      <c r="G69" s="49" t="s">
        <v>181</v>
      </c>
      <c r="H69" s="27" t="str">
        <f aca="false">IFERROR(VLOOKUP(G69,CATEGORÍAS!$A$4:$C$100,2,FALSE()),"Por revisar")</f>
        <v>Traspaso</v>
      </c>
      <c r="I69" s="27" t="str">
        <f aca="false">IFERROR(VLOOKUP(G69,CATEGORÍAS!$A$4:$C$100,3,FALSE()),"")</f>
        <v>Traspasos</v>
      </c>
      <c r="J69" s="49"/>
      <c r="K69" s="50" t="s">
        <v>226</v>
      </c>
    </row>
    <row r="70" customFormat="false" ht="15" hidden="false" customHeight="false" outlineLevel="0" collapsed="false">
      <c r="A70" s="46" t="n">
        <v>46236</v>
      </c>
      <c r="B70" s="47" t="n">
        <f aca="false">DATE(YEAR(A70),MONTH(A70),1)</f>
        <v>46235</v>
      </c>
      <c r="C70" s="5" t="s">
        <v>92</v>
      </c>
      <c r="D70" s="5" t="s">
        <v>185</v>
      </c>
      <c r="E70" s="48" t="n">
        <v>480</v>
      </c>
      <c r="F70" s="48" t="n">
        <v>1876.85</v>
      </c>
      <c r="G70" s="49" t="s">
        <v>181</v>
      </c>
      <c r="H70" s="27" t="str">
        <f aca="false">IFERROR(VLOOKUP(G70,CATEGORÍAS!$A$4:$C$100,2,FALSE()),"Por revisar")</f>
        <v>Traspaso</v>
      </c>
      <c r="I70" s="27" t="str">
        <f aca="false">IFERROR(VLOOKUP(G70,CATEGORÍAS!$A$4:$C$100,3,FALSE()),"")</f>
        <v>Traspasos</v>
      </c>
      <c r="J70" s="49"/>
      <c r="K70" s="50" t="s">
        <v>227</v>
      </c>
    </row>
    <row r="71" customFormat="false" ht="15" hidden="false" customHeight="false" outlineLevel="0" collapsed="false">
      <c r="A71" s="46" t="n">
        <v>46235</v>
      </c>
      <c r="B71" s="47" t="n">
        <f aca="false">DATE(YEAR(A71),MONTH(A71),1)</f>
        <v>46235</v>
      </c>
      <c r="C71" s="5" t="s">
        <v>91</v>
      </c>
      <c r="D71" s="5" t="s">
        <v>228</v>
      </c>
      <c r="E71" s="48" t="n">
        <v>-850</v>
      </c>
      <c r="F71" s="48" t="n">
        <v>9123.79</v>
      </c>
      <c r="G71" s="49" t="s">
        <v>189</v>
      </c>
      <c r="H71" s="27" t="str">
        <f aca="false">IFERROR(VLOOKUP(G71,CATEGORÍAS!$A$4:$C$100,2,FALSE()),"Por revisar")</f>
        <v>Gasto</v>
      </c>
      <c r="I71" s="27" t="str">
        <f aca="false">IFERROR(VLOOKUP(G71,CATEGORÍAS!$A$4:$C$100,3,FALSE()),"")</f>
        <v>Casa</v>
      </c>
      <c r="J71" s="49"/>
      <c r="K71" s="50" t="s">
        <v>229</v>
      </c>
    </row>
    <row r="72" customFormat="false" ht="15" hidden="false" customHeight="false" outlineLevel="0" collapsed="false">
      <c r="A72" s="46" t="n">
        <v>46234</v>
      </c>
      <c r="B72" s="47" t="n">
        <f aca="false">DATE(YEAR(A72),MONTH(A72),1)</f>
        <v>46204</v>
      </c>
      <c r="C72" s="5" t="s">
        <v>93</v>
      </c>
      <c r="D72" s="5" t="s">
        <v>114</v>
      </c>
      <c r="E72" s="48" t="n">
        <v>34.56</v>
      </c>
      <c r="F72" s="48" t="n">
        <v>55336.25</v>
      </c>
      <c r="G72" s="49" t="s">
        <v>115</v>
      </c>
      <c r="H72" s="27" t="str">
        <f aca="false">IFERROR(VLOOKUP(G72,CATEGORÍAS!$A$4:$C$100,2,FALSE()),"Por revisar")</f>
        <v>Ingreso</v>
      </c>
      <c r="I72" s="27" t="str">
        <f aca="false">IFERROR(VLOOKUP(G72,CATEGORÍAS!$A$4:$C$100,3,FALSE()),"")</f>
        <v>Ahorro</v>
      </c>
      <c r="J72" s="49"/>
      <c r="K72" s="50" t="s">
        <v>230</v>
      </c>
    </row>
    <row r="73" customFormat="false" ht="15" hidden="false" customHeight="false" outlineLevel="0" collapsed="false">
      <c r="A73" s="46" t="n">
        <v>46231</v>
      </c>
      <c r="B73" s="47" t="n">
        <f aca="false">DATE(YEAR(A73),MONTH(A73),1)</f>
        <v>46204</v>
      </c>
      <c r="C73" s="5" t="s">
        <v>91</v>
      </c>
      <c r="D73" s="5" t="s">
        <v>117</v>
      </c>
      <c r="E73" s="48" t="n">
        <v>2150</v>
      </c>
      <c r="F73" s="48" t="n">
        <v>9973.79</v>
      </c>
      <c r="G73" s="49" t="s">
        <v>118</v>
      </c>
      <c r="H73" s="27" t="str">
        <f aca="false">IFERROR(VLOOKUP(G73,CATEGORÍAS!$A$4:$C$100,2,FALSE()),"Por revisar")</f>
        <v>Ingreso</v>
      </c>
      <c r="I73" s="27" t="str">
        <f aca="false">IFERROR(VLOOKUP(G73,CATEGORÍAS!$A$4:$C$100,3,FALSE()),"")</f>
        <v>Trabajo</v>
      </c>
      <c r="J73" s="49"/>
      <c r="K73" s="50" t="s">
        <v>231</v>
      </c>
    </row>
    <row r="74" customFormat="false" ht="15" hidden="false" customHeight="false" outlineLevel="0" collapsed="false">
      <c r="A74" s="46" t="n">
        <v>46227</v>
      </c>
      <c r="B74" s="47" t="n">
        <f aca="false">DATE(YEAR(A74),MONTH(A74),1)</f>
        <v>46204</v>
      </c>
      <c r="C74" s="5" t="s">
        <v>120</v>
      </c>
      <c r="D74" s="5" t="s">
        <v>135</v>
      </c>
      <c r="E74" s="48" t="n">
        <v>-46.66</v>
      </c>
      <c r="F74" s="5"/>
      <c r="G74" s="49" t="s">
        <v>136</v>
      </c>
      <c r="H74" s="27" t="str">
        <f aca="false">IFERROR(VLOOKUP(G74,CATEGORÍAS!$A$4:$C$100,2,FALSE()),"Por revisar")</f>
        <v>Gasto</v>
      </c>
      <c r="I74" s="27" t="str">
        <f aca="false">IFERROR(VLOOKUP(G74,CATEGORÍAS!$A$4:$C$100,3,FALSE()),"")</f>
        <v>Personal</v>
      </c>
      <c r="J74" s="49"/>
      <c r="K74" s="50" t="s">
        <v>232</v>
      </c>
    </row>
    <row r="75" customFormat="false" ht="15" hidden="false" customHeight="false" outlineLevel="0" collapsed="false">
      <c r="A75" s="46" t="n">
        <v>46227</v>
      </c>
      <c r="B75" s="47" t="n">
        <f aca="false">DATE(YEAR(A75),MONTH(A75),1)</f>
        <v>46204</v>
      </c>
      <c r="C75" s="5" t="s">
        <v>120</v>
      </c>
      <c r="D75" s="5" t="s">
        <v>146</v>
      </c>
      <c r="E75" s="48" t="n">
        <v>-43</v>
      </c>
      <c r="F75" s="5"/>
      <c r="G75" s="49" t="s">
        <v>130</v>
      </c>
      <c r="H75" s="27" t="str">
        <f aca="false">IFERROR(VLOOKUP(G75,CATEGORÍAS!$A$4:$C$100,2,FALSE()),"Por revisar")</f>
        <v>Gasto</v>
      </c>
      <c r="I75" s="27" t="str">
        <f aca="false">IFERROR(VLOOKUP(G75,CATEGORÍAS!$A$4:$C$100,3,FALSE()),"")</f>
        <v>Transporte</v>
      </c>
      <c r="J75" s="49"/>
      <c r="K75" s="50" t="s">
        <v>233</v>
      </c>
    </row>
    <row r="76" customFormat="false" ht="15" hidden="false" customHeight="false" outlineLevel="0" collapsed="false">
      <c r="A76" s="46" t="n">
        <v>46227</v>
      </c>
      <c r="B76" s="47" t="n">
        <f aca="false">DATE(YEAR(A76),MONTH(A76),1)</f>
        <v>46204</v>
      </c>
      <c r="C76" s="5" t="s">
        <v>91</v>
      </c>
      <c r="D76" s="5" t="s">
        <v>200</v>
      </c>
      <c r="E76" s="48" t="n">
        <v>14</v>
      </c>
      <c r="F76" s="48" t="n">
        <v>7823.79</v>
      </c>
      <c r="G76" s="49" t="s">
        <v>201</v>
      </c>
      <c r="H76" s="27" t="str">
        <f aca="false">IFERROR(VLOOKUP(G76,CATEGORÍAS!$A$4:$C$100,2,FALSE()),"Por revisar")</f>
        <v>Gasto</v>
      </c>
      <c r="I76" s="27" t="str">
        <f aca="false">IFERROR(VLOOKUP(G76,CATEGORÍAS!$A$4:$C$100,3,FALSE()),"")</f>
        <v>Comida</v>
      </c>
      <c r="J76" s="49"/>
      <c r="K76" s="50" t="s">
        <v>234</v>
      </c>
    </row>
    <row r="77" customFormat="false" ht="15" hidden="false" customHeight="false" outlineLevel="0" collapsed="false">
      <c r="A77" s="46" t="n">
        <v>46225</v>
      </c>
      <c r="B77" s="47" t="n">
        <f aca="false">DATE(YEAR(A77),MONTH(A77),1)</f>
        <v>46204</v>
      </c>
      <c r="C77" s="5" t="s">
        <v>120</v>
      </c>
      <c r="D77" s="5" t="s">
        <v>173</v>
      </c>
      <c r="E77" s="48" t="n">
        <v>-13.79</v>
      </c>
      <c r="F77" s="5"/>
      <c r="G77" s="49" t="s">
        <v>174</v>
      </c>
      <c r="H77" s="27" t="str">
        <f aca="false">IFERROR(VLOOKUP(G77,CATEGORÍAS!$A$4:$C$100,2,FALSE()),"Por revisar")</f>
        <v>Gasto</v>
      </c>
      <c r="I77" s="27" t="str">
        <f aca="false">IFERROR(VLOOKUP(G77,CATEGORÍAS!$A$4:$C$100,3,FALSE()),"")</f>
        <v>Ocio</v>
      </c>
      <c r="J77" s="49"/>
      <c r="K77" s="50" t="s">
        <v>235</v>
      </c>
    </row>
    <row r="78" customFormat="false" ht="15" hidden="false" customHeight="false" outlineLevel="0" collapsed="false">
      <c r="A78" s="46" t="n">
        <v>46225</v>
      </c>
      <c r="B78" s="47" t="n">
        <f aca="false">DATE(YEAR(A78),MONTH(A78),1)</f>
        <v>46204</v>
      </c>
      <c r="C78" s="5" t="s">
        <v>120</v>
      </c>
      <c r="D78" s="5" t="s">
        <v>124</v>
      </c>
      <c r="E78" s="48" t="n">
        <v>-6.81</v>
      </c>
      <c r="F78" s="5"/>
      <c r="G78" s="49" t="s">
        <v>125</v>
      </c>
      <c r="H78" s="27" t="str">
        <f aca="false">IFERROR(VLOOKUP(G78,CATEGORÍAS!$A$4:$C$100,2,FALSE()),"Por revisar")</f>
        <v>Gasto</v>
      </c>
      <c r="I78" s="27" t="str">
        <f aca="false">IFERROR(VLOOKUP(G78,CATEGORÍAS!$A$4:$C$100,3,FALSE()),"")</f>
        <v>Comida</v>
      </c>
      <c r="J78" s="49"/>
      <c r="K78" s="50" t="s">
        <v>236</v>
      </c>
    </row>
    <row r="79" customFormat="false" ht="15" hidden="false" customHeight="false" outlineLevel="0" collapsed="false">
      <c r="A79" s="46" t="n">
        <v>46225</v>
      </c>
      <c r="B79" s="47" t="n">
        <f aca="false">DATE(YEAR(A79),MONTH(A79),1)</f>
        <v>46204</v>
      </c>
      <c r="C79" s="5" t="s">
        <v>120</v>
      </c>
      <c r="D79" s="5" t="s">
        <v>144</v>
      </c>
      <c r="E79" s="48" t="n">
        <v>-26.88</v>
      </c>
      <c r="F79" s="5"/>
      <c r="G79" s="49" t="s">
        <v>122</v>
      </c>
      <c r="H79" s="27" t="str">
        <f aca="false">IFERROR(VLOOKUP(G79,CATEGORÍAS!$A$4:$C$100,2,FALSE()),"Por revisar")</f>
        <v>Gasto</v>
      </c>
      <c r="I79" s="27" t="str">
        <f aca="false">IFERROR(VLOOKUP(G79,CATEGORÍAS!$A$4:$C$100,3,FALSE()),"")</f>
        <v>Comida</v>
      </c>
      <c r="J79" s="49"/>
      <c r="K79" s="50" t="s">
        <v>237</v>
      </c>
    </row>
    <row r="80" customFormat="false" ht="15" hidden="false" customHeight="false" outlineLevel="0" collapsed="false">
      <c r="A80" s="46" t="n">
        <v>46225</v>
      </c>
      <c r="B80" s="47" t="n">
        <f aca="false">DATE(YEAR(A80),MONTH(A80),1)</f>
        <v>46204</v>
      </c>
      <c r="C80" s="5" t="s">
        <v>91</v>
      </c>
      <c r="D80" s="5" t="s">
        <v>140</v>
      </c>
      <c r="E80" s="48" t="n">
        <v>-22</v>
      </c>
      <c r="F80" s="48" t="n">
        <v>7809.79</v>
      </c>
      <c r="G80" s="49" t="s">
        <v>141</v>
      </c>
      <c r="H80" s="27" t="str">
        <f aca="false">IFERROR(VLOOKUP(G80,CATEGORÍAS!$A$4:$C$100,2,FALSE()),"Por revisar")</f>
        <v>Gasto</v>
      </c>
      <c r="I80" s="27" t="str">
        <f aca="false">IFERROR(VLOOKUP(G80,CATEGORÍAS!$A$4:$C$100,3,FALSE()),"")</f>
        <v>Personal</v>
      </c>
      <c r="J80" s="49"/>
      <c r="K80" s="50" t="s">
        <v>238</v>
      </c>
    </row>
    <row r="81" customFormat="false" ht="15" hidden="false" customHeight="false" outlineLevel="0" collapsed="false">
      <c r="A81" s="46" t="n">
        <v>46222</v>
      </c>
      <c r="B81" s="47" t="n">
        <f aca="false">DATE(YEAR(A81),MONTH(A81),1)</f>
        <v>46204</v>
      </c>
      <c r="C81" s="5" t="s">
        <v>120</v>
      </c>
      <c r="D81" s="5" t="s">
        <v>121</v>
      </c>
      <c r="E81" s="48" t="n">
        <v>-13.84</v>
      </c>
      <c r="F81" s="5"/>
      <c r="G81" s="49" t="s">
        <v>122</v>
      </c>
      <c r="H81" s="27" t="str">
        <f aca="false">IFERROR(VLOOKUP(G81,CATEGORÍAS!$A$4:$C$100,2,FALSE()),"Por revisar")</f>
        <v>Gasto</v>
      </c>
      <c r="I81" s="27" t="str">
        <f aca="false">IFERROR(VLOOKUP(G81,CATEGORÍAS!$A$4:$C$100,3,FALSE()),"")</f>
        <v>Comida</v>
      </c>
      <c r="J81" s="49"/>
      <c r="K81" s="50" t="s">
        <v>239</v>
      </c>
    </row>
    <row r="82" customFormat="false" ht="15" hidden="false" customHeight="false" outlineLevel="0" collapsed="false">
      <c r="A82" s="46" t="n">
        <v>46222</v>
      </c>
      <c r="B82" s="47" t="n">
        <f aca="false">DATE(YEAR(A82),MONTH(A82),1)</f>
        <v>46204</v>
      </c>
      <c r="C82" s="5" t="s">
        <v>120</v>
      </c>
      <c r="D82" s="5" t="s">
        <v>121</v>
      </c>
      <c r="E82" s="48" t="n">
        <v>-15.83</v>
      </c>
      <c r="F82" s="5"/>
      <c r="G82" s="49" t="s">
        <v>122</v>
      </c>
      <c r="H82" s="27" t="str">
        <f aca="false">IFERROR(VLOOKUP(G82,CATEGORÍAS!$A$4:$C$100,2,FALSE()),"Por revisar")</f>
        <v>Gasto</v>
      </c>
      <c r="I82" s="27" t="str">
        <f aca="false">IFERROR(VLOOKUP(G82,CATEGORÍAS!$A$4:$C$100,3,FALSE()),"")</f>
        <v>Comida</v>
      </c>
      <c r="J82" s="49"/>
      <c r="K82" s="50" t="s">
        <v>240</v>
      </c>
    </row>
    <row r="83" customFormat="false" ht="15" hidden="false" customHeight="false" outlineLevel="0" collapsed="false">
      <c r="A83" s="46" t="n">
        <v>46221</v>
      </c>
      <c r="B83" s="47" t="n">
        <f aca="false">DATE(YEAR(A83),MONTH(A83),1)</f>
        <v>46204</v>
      </c>
      <c r="C83" s="5" t="s">
        <v>120</v>
      </c>
      <c r="D83" s="5" t="s">
        <v>144</v>
      </c>
      <c r="E83" s="48" t="n">
        <v>-54.01</v>
      </c>
      <c r="F83" s="5"/>
      <c r="G83" s="49" t="s">
        <v>122</v>
      </c>
      <c r="H83" s="27" t="str">
        <f aca="false">IFERROR(VLOOKUP(G83,CATEGORÍAS!$A$4:$C$100,2,FALSE()),"Por revisar")</f>
        <v>Gasto</v>
      </c>
      <c r="I83" s="27" t="str">
        <f aca="false">IFERROR(VLOOKUP(G83,CATEGORÍAS!$A$4:$C$100,3,FALSE()),"")</f>
        <v>Comida</v>
      </c>
      <c r="J83" s="49"/>
      <c r="K83" s="50" t="s">
        <v>241</v>
      </c>
    </row>
    <row r="84" customFormat="false" ht="15" hidden="false" customHeight="false" outlineLevel="0" collapsed="false">
      <c r="A84" s="46" t="n">
        <v>46221</v>
      </c>
      <c r="B84" s="47" t="n">
        <f aca="false">DATE(YEAR(A84),MONTH(A84),1)</f>
        <v>46204</v>
      </c>
      <c r="C84" s="5" t="s">
        <v>120</v>
      </c>
      <c r="D84" s="5" t="s">
        <v>124</v>
      </c>
      <c r="E84" s="48" t="n">
        <v>-7.27</v>
      </c>
      <c r="F84" s="5"/>
      <c r="G84" s="49" t="s">
        <v>125</v>
      </c>
      <c r="H84" s="27" t="str">
        <f aca="false">IFERROR(VLOOKUP(G84,CATEGORÍAS!$A$4:$C$100,2,FALSE()),"Por revisar")</f>
        <v>Gasto</v>
      </c>
      <c r="I84" s="27" t="str">
        <f aca="false">IFERROR(VLOOKUP(G84,CATEGORÍAS!$A$4:$C$100,3,FALSE()),"")</f>
        <v>Comida</v>
      </c>
      <c r="J84" s="49"/>
      <c r="K84" s="50" t="s">
        <v>242</v>
      </c>
    </row>
    <row r="85" customFormat="false" ht="15" hidden="false" customHeight="false" outlineLevel="0" collapsed="false">
      <c r="A85" s="46" t="n">
        <v>46221</v>
      </c>
      <c r="B85" s="47" t="n">
        <f aca="false">DATE(YEAR(A85),MONTH(A85),1)</f>
        <v>46204</v>
      </c>
      <c r="C85" s="5" t="s">
        <v>91</v>
      </c>
      <c r="D85" s="5" t="s">
        <v>243</v>
      </c>
      <c r="E85" s="48" t="n">
        <v>412.36</v>
      </c>
      <c r="F85" s="48" t="n">
        <v>7831.79</v>
      </c>
      <c r="G85" s="49" t="s">
        <v>244</v>
      </c>
      <c r="H85" s="27" t="str">
        <f aca="false">IFERROR(VLOOKUP(G85,CATEGORÍAS!$A$4:$C$100,2,FALSE()),"Por revisar")</f>
        <v>Ingreso</v>
      </c>
      <c r="I85" s="27" t="str">
        <f aca="false">IFERROR(VLOOKUP(G85,CATEGORÍAS!$A$4:$C$100,3,FALSE()),"")</f>
        <v>Otros ingresos</v>
      </c>
      <c r="J85" s="49"/>
      <c r="K85" s="50" t="s">
        <v>245</v>
      </c>
    </row>
    <row r="86" customFormat="false" ht="15" hidden="false" customHeight="false" outlineLevel="0" collapsed="false">
      <c r="A86" s="46" t="n">
        <v>46219</v>
      </c>
      <c r="B86" s="47" t="n">
        <f aca="false">DATE(YEAR(A86),MONTH(A86),1)</f>
        <v>46204</v>
      </c>
      <c r="C86" s="5" t="s">
        <v>120</v>
      </c>
      <c r="D86" s="5" t="s">
        <v>127</v>
      </c>
      <c r="E86" s="48" t="n">
        <v>-26.8</v>
      </c>
      <c r="F86" s="5"/>
      <c r="G86" s="49" t="s">
        <v>125</v>
      </c>
      <c r="H86" s="27" t="str">
        <f aca="false">IFERROR(VLOOKUP(G86,CATEGORÍAS!$A$4:$C$100,2,FALSE()),"Por revisar")</f>
        <v>Gasto</v>
      </c>
      <c r="I86" s="27" t="str">
        <f aca="false">IFERROR(VLOOKUP(G86,CATEGORÍAS!$A$4:$C$100,3,FALSE()),"")</f>
        <v>Comida</v>
      </c>
      <c r="J86" s="49"/>
      <c r="K86" s="50" t="s">
        <v>246</v>
      </c>
    </row>
    <row r="87" customFormat="false" ht="15" hidden="false" customHeight="false" outlineLevel="0" collapsed="false">
      <c r="A87" s="46" t="n">
        <v>46215</v>
      </c>
      <c r="B87" s="47" t="n">
        <f aca="false">DATE(YEAR(A87),MONTH(A87),1)</f>
        <v>46204</v>
      </c>
      <c r="C87" s="5" t="s">
        <v>120</v>
      </c>
      <c r="D87" s="5" t="s">
        <v>127</v>
      </c>
      <c r="E87" s="48" t="n">
        <v>-31.14</v>
      </c>
      <c r="F87" s="5"/>
      <c r="G87" s="49" t="s">
        <v>125</v>
      </c>
      <c r="H87" s="27" t="str">
        <f aca="false">IFERROR(VLOOKUP(G87,CATEGORÍAS!$A$4:$C$100,2,FALSE()),"Por revisar")</f>
        <v>Gasto</v>
      </c>
      <c r="I87" s="27" t="str">
        <f aca="false">IFERROR(VLOOKUP(G87,CATEGORÍAS!$A$4:$C$100,3,FALSE()),"")</f>
        <v>Comida</v>
      </c>
      <c r="J87" s="49"/>
      <c r="K87" s="50" t="s">
        <v>247</v>
      </c>
    </row>
    <row r="88" customFormat="false" ht="15" hidden="false" customHeight="false" outlineLevel="0" collapsed="false">
      <c r="A88" s="46" t="n">
        <v>46214</v>
      </c>
      <c r="B88" s="47" t="n">
        <f aca="false">DATE(YEAR(A88),MONTH(A88),1)</f>
        <v>46204</v>
      </c>
      <c r="C88" s="5" t="s">
        <v>120</v>
      </c>
      <c r="D88" s="5" t="s">
        <v>124</v>
      </c>
      <c r="E88" s="48" t="n">
        <v>-6.44</v>
      </c>
      <c r="F88" s="5"/>
      <c r="G88" s="49" t="s">
        <v>125</v>
      </c>
      <c r="H88" s="27" t="str">
        <f aca="false">IFERROR(VLOOKUP(G88,CATEGORÍAS!$A$4:$C$100,2,FALSE()),"Por revisar")</f>
        <v>Gasto</v>
      </c>
      <c r="I88" s="27" t="str">
        <f aca="false">IFERROR(VLOOKUP(G88,CATEGORÍAS!$A$4:$C$100,3,FALSE()),"")</f>
        <v>Comida</v>
      </c>
      <c r="J88" s="49"/>
      <c r="K88" s="50" t="s">
        <v>248</v>
      </c>
    </row>
    <row r="89" customFormat="false" ht="15" hidden="false" customHeight="false" outlineLevel="0" collapsed="false">
      <c r="A89" s="46" t="n">
        <v>46214</v>
      </c>
      <c r="B89" s="47" t="n">
        <f aca="false">DATE(YEAR(A89),MONTH(A89),1)</f>
        <v>46204</v>
      </c>
      <c r="C89" s="5" t="s">
        <v>120</v>
      </c>
      <c r="D89" s="5" t="s">
        <v>124</v>
      </c>
      <c r="E89" s="48" t="n">
        <v>-7.95</v>
      </c>
      <c r="F89" s="5"/>
      <c r="G89" s="49" t="s">
        <v>125</v>
      </c>
      <c r="H89" s="27" t="str">
        <f aca="false">IFERROR(VLOOKUP(G89,CATEGORÍAS!$A$4:$C$100,2,FALSE()),"Por revisar")</f>
        <v>Gasto</v>
      </c>
      <c r="I89" s="27" t="str">
        <f aca="false">IFERROR(VLOOKUP(G89,CATEGORÍAS!$A$4:$C$100,3,FALSE()),"")</f>
        <v>Comida</v>
      </c>
      <c r="J89" s="49"/>
      <c r="K89" s="50" t="s">
        <v>249</v>
      </c>
    </row>
    <row r="90" customFormat="false" ht="15" hidden="false" customHeight="false" outlineLevel="0" collapsed="false">
      <c r="A90" s="46" t="n">
        <v>46214</v>
      </c>
      <c r="B90" s="47" t="n">
        <f aca="false">DATE(YEAR(A90),MONTH(A90),1)</f>
        <v>46204</v>
      </c>
      <c r="C90" s="5" t="s">
        <v>91</v>
      </c>
      <c r="D90" s="5" t="s">
        <v>132</v>
      </c>
      <c r="E90" s="48" t="n">
        <v>28</v>
      </c>
      <c r="F90" s="48" t="n">
        <v>7419.43</v>
      </c>
      <c r="G90" s="49" t="s">
        <v>201</v>
      </c>
      <c r="H90" s="27" t="str">
        <f aca="false">IFERROR(VLOOKUP(G90,CATEGORÍAS!$A$4:$C$100,2,FALSE()),"Por revisar")</f>
        <v>Gasto</v>
      </c>
      <c r="I90" s="27" t="str">
        <f aca="false">IFERROR(VLOOKUP(G90,CATEGORÍAS!$A$4:$C$100,3,FALSE()),"")</f>
        <v>Comida</v>
      </c>
      <c r="J90" s="49"/>
      <c r="K90" s="50" t="s">
        <v>250</v>
      </c>
    </row>
    <row r="91" customFormat="false" ht="15" hidden="false" customHeight="false" outlineLevel="0" collapsed="false">
      <c r="A91" s="46" t="n">
        <v>46212</v>
      </c>
      <c r="B91" s="47" t="n">
        <f aca="false">DATE(YEAR(A91),MONTH(A91),1)</f>
        <v>46204</v>
      </c>
      <c r="C91" s="5" t="s">
        <v>120</v>
      </c>
      <c r="D91" s="5" t="s">
        <v>124</v>
      </c>
      <c r="E91" s="48" t="n">
        <v>-8.6</v>
      </c>
      <c r="F91" s="5"/>
      <c r="G91" s="49" t="s">
        <v>125</v>
      </c>
      <c r="H91" s="27" t="str">
        <f aca="false">IFERROR(VLOOKUP(G91,CATEGORÍAS!$A$4:$C$100,2,FALSE()),"Por revisar")</f>
        <v>Gasto</v>
      </c>
      <c r="I91" s="27" t="str">
        <f aca="false">IFERROR(VLOOKUP(G91,CATEGORÍAS!$A$4:$C$100,3,FALSE()),"")</f>
        <v>Comida</v>
      </c>
      <c r="J91" s="49"/>
      <c r="K91" s="50" t="s">
        <v>251</v>
      </c>
    </row>
    <row r="92" customFormat="false" ht="15" hidden="false" customHeight="false" outlineLevel="0" collapsed="false">
      <c r="A92" s="46" t="n">
        <v>46212</v>
      </c>
      <c r="B92" s="47" t="n">
        <f aca="false">DATE(YEAR(A92),MONTH(A92),1)</f>
        <v>46204</v>
      </c>
      <c r="C92" s="5" t="s">
        <v>91</v>
      </c>
      <c r="D92" s="5" t="s">
        <v>153</v>
      </c>
      <c r="E92" s="48" t="n">
        <v>-12.99</v>
      </c>
      <c r="F92" s="48" t="n">
        <v>7391.43</v>
      </c>
      <c r="G92" s="49" t="s">
        <v>154</v>
      </c>
      <c r="H92" s="27" t="str">
        <f aca="false">IFERROR(VLOOKUP(G92,CATEGORÍAS!$A$4:$C$100,2,FALSE()),"Por revisar")</f>
        <v>Gasto</v>
      </c>
      <c r="I92" s="27" t="str">
        <f aca="false">IFERROR(VLOOKUP(G92,CATEGORÍAS!$A$4:$C$100,3,FALSE()),"")</f>
        <v>Personal</v>
      </c>
      <c r="J92" s="49"/>
      <c r="K92" s="50" t="s">
        <v>252</v>
      </c>
    </row>
    <row r="93" customFormat="false" ht="15" hidden="false" customHeight="false" outlineLevel="0" collapsed="false">
      <c r="A93" s="46" t="n">
        <v>46211</v>
      </c>
      <c r="B93" s="47" t="n">
        <f aca="false">DATE(YEAR(A93),MONTH(A93),1)</f>
        <v>46204</v>
      </c>
      <c r="C93" s="5" t="s">
        <v>120</v>
      </c>
      <c r="D93" s="5" t="s">
        <v>144</v>
      </c>
      <c r="E93" s="48" t="n">
        <v>-67.04</v>
      </c>
      <c r="F93" s="5"/>
      <c r="G93" s="49" t="s">
        <v>122</v>
      </c>
      <c r="H93" s="27" t="str">
        <f aca="false">IFERROR(VLOOKUP(G93,CATEGORÍAS!$A$4:$C$100,2,FALSE()),"Por revisar")</f>
        <v>Gasto</v>
      </c>
      <c r="I93" s="27" t="str">
        <f aca="false">IFERROR(VLOOKUP(G93,CATEGORÍAS!$A$4:$C$100,3,FALSE()),"")</f>
        <v>Comida</v>
      </c>
      <c r="J93" s="49"/>
      <c r="K93" s="50" t="s">
        <v>253</v>
      </c>
    </row>
    <row r="94" customFormat="false" ht="15" hidden="false" customHeight="false" outlineLevel="0" collapsed="false">
      <c r="A94" s="46" t="n">
        <v>46211</v>
      </c>
      <c r="B94" s="47" t="n">
        <f aca="false">DATE(YEAR(A94),MONTH(A94),1)</f>
        <v>46204</v>
      </c>
      <c r="C94" s="5" t="s">
        <v>91</v>
      </c>
      <c r="D94" s="5" t="s">
        <v>156</v>
      </c>
      <c r="E94" s="48" t="n">
        <v>-42.64</v>
      </c>
      <c r="F94" s="48" t="n">
        <v>7404.42</v>
      </c>
      <c r="G94" s="49" t="s">
        <v>157</v>
      </c>
      <c r="H94" s="27" t="str">
        <f aca="false">IFERROR(VLOOKUP(G94,CATEGORÍAS!$A$4:$C$100,2,FALSE()),"Por revisar")</f>
        <v>Gasto</v>
      </c>
      <c r="I94" s="27" t="str">
        <f aca="false">IFERROR(VLOOKUP(G94,CATEGORÍAS!$A$4:$C$100,3,FALSE()),"")</f>
        <v>Casa</v>
      </c>
      <c r="J94" s="49"/>
      <c r="K94" s="50" t="s">
        <v>254</v>
      </c>
    </row>
    <row r="95" customFormat="false" ht="15" hidden="false" customHeight="false" outlineLevel="0" collapsed="false">
      <c r="A95" s="46" t="n">
        <v>46210</v>
      </c>
      <c r="B95" s="47" t="n">
        <f aca="false">DATE(YEAR(A95),MONTH(A95),1)</f>
        <v>46204</v>
      </c>
      <c r="C95" s="5" t="s">
        <v>120</v>
      </c>
      <c r="D95" s="5" t="s">
        <v>129</v>
      </c>
      <c r="E95" s="48" t="n">
        <v>-20</v>
      </c>
      <c r="F95" s="5"/>
      <c r="G95" s="49" t="s">
        <v>130</v>
      </c>
      <c r="H95" s="27" t="str">
        <f aca="false">IFERROR(VLOOKUP(G95,CATEGORÍAS!$A$4:$C$100,2,FALSE()),"Por revisar")</f>
        <v>Gasto</v>
      </c>
      <c r="I95" s="27" t="str">
        <f aca="false">IFERROR(VLOOKUP(G95,CATEGORÍAS!$A$4:$C$100,3,FALSE()),"")</f>
        <v>Transporte</v>
      </c>
      <c r="J95" s="49"/>
      <c r="K95" s="50" t="s">
        <v>255</v>
      </c>
    </row>
    <row r="96" customFormat="false" ht="15" hidden="false" customHeight="false" outlineLevel="0" collapsed="false">
      <c r="A96" s="46" t="n">
        <v>46209</v>
      </c>
      <c r="B96" s="47" t="n">
        <f aca="false">DATE(YEAR(A96),MONTH(A96),1)</f>
        <v>46204</v>
      </c>
      <c r="C96" s="5" t="s">
        <v>91</v>
      </c>
      <c r="D96" s="5" t="s">
        <v>164</v>
      </c>
      <c r="E96" s="48" t="n">
        <v>-14.95</v>
      </c>
      <c r="F96" s="48" t="n">
        <v>7447.06</v>
      </c>
      <c r="G96" s="49" t="s">
        <v>165</v>
      </c>
      <c r="H96" s="27" t="str">
        <f aca="false">IFERROR(VLOOKUP(G96,CATEGORÍAS!$A$4:$C$100,2,FALSE()),"Por revisar")</f>
        <v>Gasto</v>
      </c>
      <c r="I96" s="27" t="str">
        <f aca="false">IFERROR(VLOOKUP(G96,CATEGORÍAS!$A$4:$C$100,3,FALSE()),"")</f>
        <v>Personal</v>
      </c>
      <c r="J96" s="49"/>
      <c r="K96" s="50" t="s">
        <v>256</v>
      </c>
    </row>
    <row r="97" customFormat="false" ht="15" hidden="false" customHeight="false" outlineLevel="0" collapsed="false">
      <c r="A97" s="46" t="n">
        <v>46208</v>
      </c>
      <c r="B97" s="47" t="n">
        <f aca="false">DATE(YEAR(A97),MONTH(A97),1)</f>
        <v>46204</v>
      </c>
      <c r="C97" s="5" t="s">
        <v>91</v>
      </c>
      <c r="D97" s="5" t="s">
        <v>167</v>
      </c>
      <c r="E97" s="48" t="n">
        <v>-39.9</v>
      </c>
      <c r="F97" s="48" t="n">
        <v>7462.01</v>
      </c>
      <c r="G97" s="49" t="s">
        <v>168</v>
      </c>
      <c r="H97" s="27" t="str">
        <f aca="false">IFERROR(VLOOKUP(G97,CATEGORÍAS!$A$4:$C$100,2,FALSE()),"Por revisar")</f>
        <v>Gasto</v>
      </c>
      <c r="I97" s="27" t="str">
        <f aca="false">IFERROR(VLOOKUP(G97,CATEGORÍAS!$A$4:$C$100,3,FALSE()),"")</f>
        <v>Casa</v>
      </c>
      <c r="J97" s="49"/>
      <c r="K97" s="50" t="s">
        <v>257</v>
      </c>
    </row>
    <row r="98" customFormat="false" ht="15" hidden="false" customHeight="false" outlineLevel="0" collapsed="false">
      <c r="A98" s="46" t="n">
        <v>46208</v>
      </c>
      <c r="B98" s="47" t="n">
        <f aca="false">DATE(YEAR(A98),MONTH(A98),1)</f>
        <v>46204</v>
      </c>
      <c r="C98" s="5" t="s">
        <v>92</v>
      </c>
      <c r="D98" s="5" t="s">
        <v>170</v>
      </c>
      <c r="E98" s="48" t="n">
        <v>-444.06</v>
      </c>
      <c r="F98" s="48" t="n">
        <v>1396.85</v>
      </c>
      <c r="G98" s="49" t="s">
        <v>171</v>
      </c>
      <c r="H98" s="27" t="str">
        <f aca="false">IFERROR(VLOOKUP(G98,CATEGORÍAS!$A$4:$C$100,2,FALSE()),"Por revisar")</f>
        <v>Traspaso</v>
      </c>
      <c r="I98" s="27" t="str">
        <f aca="false">IFERROR(VLOOKUP(G98,CATEGORÍAS!$A$4:$C$100,3,FALSE()),"")</f>
        <v>Traspasos</v>
      </c>
      <c r="J98" s="49"/>
      <c r="K98" s="50" t="s">
        <v>258</v>
      </c>
    </row>
    <row r="99" customFormat="false" ht="15" hidden="false" customHeight="false" outlineLevel="0" collapsed="false">
      <c r="A99" s="46" t="n">
        <v>46206</v>
      </c>
      <c r="B99" s="47" t="n">
        <f aca="false">DATE(YEAR(A99),MONTH(A99),1)</f>
        <v>46204</v>
      </c>
      <c r="C99" s="5" t="s">
        <v>91</v>
      </c>
      <c r="D99" s="5" t="s">
        <v>177</v>
      </c>
      <c r="E99" s="48" t="n">
        <v>-150</v>
      </c>
      <c r="F99" s="48" t="n">
        <v>7501.91</v>
      </c>
      <c r="G99" s="49" t="s">
        <v>178</v>
      </c>
      <c r="H99" s="27" t="str">
        <f aca="false">IFERROR(VLOOKUP(G99,CATEGORÍAS!$A$4:$C$100,2,FALSE()),"Por revisar")</f>
        <v>Gasto</v>
      </c>
      <c r="I99" s="27" t="str">
        <f aca="false">IFERROR(VLOOKUP(G99,CATEGORÍAS!$A$4:$C$100,3,FALSE()),"")</f>
        <v>Viajes</v>
      </c>
      <c r="J99" s="49"/>
      <c r="K99" s="50" t="s">
        <v>259</v>
      </c>
    </row>
    <row r="100" customFormat="false" ht="15" hidden="false" customHeight="false" outlineLevel="0" collapsed="false">
      <c r="A100" s="46" t="n">
        <v>46205</v>
      </c>
      <c r="B100" s="47" t="n">
        <f aca="false">DATE(YEAR(A100),MONTH(A100),1)</f>
        <v>46204</v>
      </c>
      <c r="C100" s="5" t="s">
        <v>120</v>
      </c>
      <c r="D100" s="5" t="s">
        <v>159</v>
      </c>
      <c r="E100" s="48" t="n">
        <v>-23.93</v>
      </c>
      <c r="F100" s="5"/>
      <c r="G100" s="49" t="s">
        <v>160</v>
      </c>
      <c r="H100" s="27" t="str">
        <f aca="false">IFERROR(VLOOKUP(G100,CATEGORÍAS!$A$4:$C$100,2,FALSE()),"Por revisar")</f>
        <v>Gasto</v>
      </c>
      <c r="I100" s="27" t="str">
        <f aca="false">IFERROR(VLOOKUP(G100,CATEGORÍAS!$A$4:$C$100,3,FALSE()),"")</f>
        <v>Salud</v>
      </c>
      <c r="J100" s="49"/>
      <c r="K100" s="50" t="s">
        <v>260</v>
      </c>
    </row>
    <row r="101" customFormat="false" ht="15" hidden="false" customHeight="false" outlineLevel="0" collapsed="false">
      <c r="A101" s="46" t="n">
        <v>46205</v>
      </c>
      <c r="B101" s="47" t="n">
        <f aca="false">DATE(YEAR(A101),MONTH(A101),1)</f>
        <v>46204</v>
      </c>
      <c r="C101" s="5" t="s">
        <v>91</v>
      </c>
      <c r="D101" s="5" t="s">
        <v>180</v>
      </c>
      <c r="E101" s="48" t="n">
        <v>-300</v>
      </c>
      <c r="F101" s="48" t="n">
        <v>8131.91</v>
      </c>
      <c r="G101" s="49" t="s">
        <v>181</v>
      </c>
      <c r="H101" s="27" t="str">
        <f aca="false">IFERROR(VLOOKUP(G101,CATEGORÍAS!$A$4:$C$100,2,FALSE()),"Por revisar")</f>
        <v>Traspaso</v>
      </c>
      <c r="I101" s="27" t="str">
        <f aca="false">IFERROR(VLOOKUP(G101,CATEGORÍAS!$A$4:$C$100,3,FALSE()),"")</f>
        <v>Traspasos</v>
      </c>
      <c r="J101" s="49"/>
      <c r="K101" s="50" t="s">
        <v>261</v>
      </c>
    </row>
    <row r="102" customFormat="false" ht="15" hidden="false" customHeight="false" outlineLevel="0" collapsed="false">
      <c r="A102" s="46" t="n">
        <v>46205</v>
      </c>
      <c r="B102" s="47" t="n">
        <f aca="false">DATE(YEAR(A102),MONTH(A102),1)</f>
        <v>46204</v>
      </c>
      <c r="C102" s="5" t="s">
        <v>91</v>
      </c>
      <c r="D102" s="5" t="s">
        <v>183</v>
      </c>
      <c r="E102" s="48" t="n">
        <v>-480</v>
      </c>
      <c r="F102" s="48" t="n">
        <v>7651.91</v>
      </c>
      <c r="G102" s="49" t="s">
        <v>181</v>
      </c>
      <c r="H102" s="27" t="str">
        <f aca="false">IFERROR(VLOOKUP(G102,CATEGORÍAS!$A$4:$C$100,2,FALSE()),"Por revisar")</f>
        <v>Traspaso</v>
      </c>
      <c r="I102" s="27" t="str">
        <f aca="false">IFERROR(VLOOKUP(G102,CATEGORÍAS!$A$4:$C$100,3,FALSE()),"")</f>
        <v>Traspasos</v>
      </c>
      <c r="J102" s="49"/>
      <c r="K102" s="50" t="s">
        <v>262</v>
      </c>
    </row>
    <row r="103" customFormat="false" ht="15" hidden="false" customHeight="false" outlineLevel="0" collapsed="false">
      <c r="A103" s="46" t="n">
        <v>46205</v>
      </c>
      <c r="B103" s="47" t="n">
        <f aca="false">DATE(YEAR(A103),MONTH(A103),1)</f>
        <v>46204</v>
      </c>
      <c r="C103" s="5" t="s">
        <v>93</v>
      </c>
      <c r="D103" s="5" t="s">
        <v>185</v>
      </c>
      <c r="E103" s="48" t="n">
        <v>300</v>
      </c>
      <c r="F103" s="48" t="n">
        <v>55301.69</v>
      </c>
      <c r="G103" s="49" t="s">
        <v>181</v>
      </c>
      <c r="H103" s="27" t="str">
        <f aca="false">IFERROR(VLOOKUP(G103,CATEGORÍAS!$A$4:$C$100,2,FALSE()),"Por revisar")</f>
        <v>Traspaso</v>
      </c>
      <c r="I103" s="27" t="str">
        <f aca="false">IFERROR(VLOOKUP(G103,CATEGORÍAS!$A$4:$C$100,3,FALSE()),"")</f>
        <v>Traspasos</v>
      </c>
      <c r="J103" s="49"/>
      <c r="K103" s="50" t="s">
        <v>263</v>
      </c>
    </row>
    <row r="104" customFormat="false" ht="15" hidden="false" customHeight="false" outlineLevel="0" collapsed="false">
      <c r="A104" s="46" t="n">
        <v>46205</v>
      </c>
      <c r="B104" s="47" t="n">
        <f aca="false">DATE(YEAR(A104),MONTH(A104),1)</f>
        <v>46204</v>
      </c>
      <c r="C104" s="5" t="s">
        <v>92</v>
      </c>
      <c r="D104" s="5" t="s">
        <v>185</v>
      </c>
      <c r="E104" s="48" t="n">
        <v>480</v>
      </c>
      <c r="F104" s="48" t="n">
        <v>1840.91</v>
      </c>
      <c r="G104" s="49" t="s">
        <v>181</v>
      </c>
      <c r="H104" s="27" t="str">
        <f aca="false">IFERROR(VLOOKUP(G104,CATEGORÍAS!$A$4:$C$100,2,FALSE()),"Por revisar")</f>
        <v>Traspaso</v>
      </c>
      <c r="I104" s="27" t="str">
        <f aca="false">IFERROR(VLOOKUP(G104,CATEGORÍAS!$A$4:$C$100,3,FALSE()),"")</f>
        <v>Traspasos</v>
      </c>
      <c r="J104" s="49"/>
      <c r="K104" s="50" t="s">
        <v>264</v>
      </c>
    </row>
    <row r="105" customFormat="false" ht="15" hidden="false" customHeight="false" outlineLevel="0" collapsed="false">
      <c r="A105" s="46" t="n">
        <v>46204</v>
      </c>
      <c r="B105" s="47" t="n">
        <f aca="false">DATE(YEAR(A105),MONTH(A105),1)</f>
        <v>46204</v>
      </c>
      <c r="C105" s="5" t="s">
        <v>120</v>
      </c>
      <c r="D105" s="5" t="s">
        <v>144</v>
      </c>
      <c r="E105" s="48" t="n">
        <v>-69.09</v>
      </c>
      <c r="F105" s="5"/>
      <c r="G105" s="49" t="s">
        <v>122</v>
      </c>
      <c r="H105" s="27" t="str">
        <f aca="false">IFERROR(VLOOKUP(G105,CATEGORÍAS!$A$4:$C$100,2,FALSE()),"Por revisar")</f>
        <v>Gasto</v>
      </c>
      <c r="I105" s="27" t="str">
        <f aca="false">IFERROR(VLOOKUP(G105,CATEGORÍAS!$A$4:$C$100,3,FALSE()),"")</f>
        <v>Comida</v>
      </c>
      <c r="J105" s="49"/>
      <c r="K105" s="50" t="s">
        <v>265</v>
      </c>
    </row>
    <row r="106" customFormat="false" ht="15" hidden="false" customHeight="false" outlineLevel="0" collapsed="false">
      <c r="A106" s="46" t="n">
        <v>46204</v>
      </c>
      <c r="B106" s="47" t="n">
        <f aca="false">DATE(YEAR(A106),MONTH(A106),1)</f>
        <v>46204</v>
      </c>
      <c r="C106" s="5" t="s">
        <v>91</v>
      </c>
      <c r="D106" s="5" t="s">
        <v>266</v>
      </c>
      <c r="E106" s="48" t="n">
        <v>-850</v>
      </c>
      <c r="F106" s="48" t="n">
        <v>8431.91</v>
      </c>
      <c r="G106" s="49" t="s">
        <v>189</v>
      </c>
      <c r="H106" s="27" t="str">
        <f aca="false">IFERROR(VLOOKUP(G106,CATEGORÍAS!$A$4:$C$100,2,FALSE()),"Por revisar")</f>
        <v>Gasto</v>
      </c>
      <c r="I106" s="27" t="str">
        <f aca="false">IFERROR(VLOOKUP(G106,CATEGORÍAS!$A$4:$C$100,3,FALSE()),"")</f>
        <v>Casa</v>
      </c>
      <c r="J106" s="49"/>
      <c r="K106" s="50" t="s">
        <v>267</v>
      </c>
    </row>
    <row r="107" customFormat="false" ht="15" hidden="false" customHeight="false" outlineLevel="0" collapsed="false">
      <c r="A107" s="46" t="n">
        <v>46203</v>
      </c>
      <c r="B107" s="47" t="n">
        <f aca="false">DATE(YEAR(A107),MONTH(A107),1)</f>
        <v>46174</v>
      </c>
      <c r="C107" s="5" t="s">
        <v>93</v>
      </c>
      <c r="D107" s="5" t="s">
        <v>114</v>
      </c>
      <c r="E107" s="48" t="n">
        <v>34.35</v>
      </c>
      <c r="F107" s="48" t="n">
        <v>55001.69</v>
      </c>
      <c r="G107" s="49" t="s">
        <v>115</v>
      </c>
      <c r="H107" s="27" t="str">
        <f aca="false">IFERROR(VLOOKUP(G107,CATEGORÍAS!$A$4:$C$100,2,FALSE()),"Por revisar")</f>
        <v>Ingreso</v>
      </c>
      <c r="I107" s="27" t="str">
        <f aca="false">IFERROR(VLOOKUP(G107,CATEGORÍAS!$A$4:$C$100,3,FALSE()),"")</f>
        <v>Ahorro</v>
      </c>
      <c r="J107" s="49"/>
      <c r="K107" s="50" t="s">
        <v>268</v>
      </c>
    </row>
    <row r="108" customFormat="false" ht="15" hidden="false" customHeight="false" outlineLevel="0" collapsed="false">
      <c r="A108" s="46" t="n">
        <v>46201</v>
      </c>
      <c r="B108" s="47" t="n">
        <f aca="false">DATE(YEAR(A108),MONTH(A108),1)</f>
        <v>46174</v>
      </c>
      <c r="C108" s="5" t="s">
        <v>120</v>
      </c>
      <c r="D108" s="5" t="s">
        <v>124</v>
      </c>
      <c r="E108" s="48" t="n">
        <v>-6.61</v>
      </c>
      <c r="F108" s="5"/>
      <c r="G108" s="49" t="s">
        <v>125</v>
      </c>
      <c r="H108" s="27" t="str">
        <f aca="false">IFERROR(VLOOKUP(G108,CATEGORÍAS!$A$4:$C$100,2,FALSE()),"Por revisar")</f>
        <v>Gasto</v>
      </c>
      <c r="I108" s="27" t="str">
        <f aca="false">IFERROR(VLOOKUP(G108,CATEGORÍAS!$A$4:$C$100,3,FALSE()),"")</f>
        <v>Comida</v>
      </c>
      <c r="J108" s="49"/>
      <c r="K108" s="50" t="s">
        <v>269</v>
      </c>
    </row>
    <row r="109" customFormat="false" ht="15" hidden="false" customHeight="false" outlineLevel="0" collapsed="false">
      <c r="A109" s="46" t="n">
        <v>46201</v>
      </c>
      <c r="B109" s="47" t="n">
        <f aca="false">DATE(YEAR(A109),MONTH(A109),1)</f>
        <v>46174</v>
      </c>
      <c r="C109" s="5" t="s">
        <v>91</v>
      </c>
      <c r="D109" s="5" t="s">
        <v>117</v>
      </c>
      <c r="E109" s="48" t="n">
        <v>2150</v>
      </c>
      <c r="F109" s="48" t="n">
        <v>9281.91</v>
      </c>
      <c r="G109" s="49" t="s">
        <v>118</v>
      </c>
      <c r="H109" s="27" t="str">
        <f aca="false">IFERROR(VLOOKUP(G109,CATEGORÍAS!$A$4:$C$100,2,FALSE()),"Por revisar")</f>
        <v>Ingreso</v>
      </c>
      <c r="I109" s="27" t="str">
        <f aca="false">IFERROR(VLOOKUP(G109,CATEGORÍAS!$A$4:$C$100,3,FALSE()),"")</f>
        <v>Trabajo</v>
      </c>
      <c r="J109" s="49"/>
      <c r="K109" s="50" t="s">
        <v>270</v>
      </c>
    </row>
    <row r="110" customFormat="false" ht="15" hidden="false" customHeight="false" outlineLevel="0" collapsed="false">
      <c r="A110" s="46" t="n">
        <v>46199</v>
      </c>
      <c r="B110" s="47" t="n">
        <f aca="false">DATE(YEAR(A110),MONTH(A110),1)</f>
        <v>46174</v>
      </c>
      <c r="C110" s="5" t="s">
        <v>120</v>
      </c>
      <c r="D110" s="5" t="s">
        <v>159</v>
      </c>
      <c r="E110" s="48" t="n">
        <v>-16.47</v>
      </c>
      <c r="F110" s="5"/>
      <c r="G110" s="49" t="s">
        <v>160</v>
      </c>
      <c r="H110" s="27" t="str">
        <f aca="false">IFERROR(VLOOKUP(G110,CATEGORÍAS!$A$4:$C$100,2,FALSE()),"Por revisar")</f>
        <v>Gasto</v>
      </c>
      <c r="I110" s="27" t="str">
        <f aca="false">IFERROR(VLOOKUP(G110,CATEGORÍAS!$A$4:$C$100,3,FALSE()),"")</f>
        <v>Salud</v>
      </c>
      <c r="J110" s="49"/>
      <c r="K110" s="50" t="s">
        <v>271</v>
      </c>
    </row>
    <row r="111" customFormat="false" ht="15" hidden="false" customHeight="false" outlineLevel="0" collapsed="false">
      <c r="A111" s="46" t="n">
        <v>46198</v>
      </c>
      <c r="B111" s="47" t="n">
        <f aca="false">DATE(YEAR(A111),MONTH(A111),1)</f>
        <v>46174</v>
      </c>
      <c r="C111" s="5" t="s">
        <v>120</v>
      </c>
      <c r="D111" s="5" t="s">
        <v>124</v>
      </c>
      <c r="E111" s="48" t="n">
        <v>-6.05</v>
      </c>
      <c r="F111" s="5"/>
      <c r="G111" s="49" t="s">
        <v>125</v>
      </c>
      <c r="H111" s="27" t="str">
        <f aca="false">IFERROR(VLOOKUP(G111,CATEGORÍAS!$A$4:$C$100,2,FALSE()),"Por revisar")</f>
        <v>Gasto</v>
      </c>
      <c r="I111" s="27" t="str">
        <f aca="false">IFERROR(VLOOKUP(G111,CATEGORÍAS!$A$4:$C$100,3,FALSE()),"")</f>
        <v>Comida</v>
      </c>
      <c r="J111" s="49"/>
      <c r="K111" s="50" t="s">
        <v>272</v>
      </c>
    </row>
    <row r="112" customFormat="false" ht="15" hidden="false" customHeight="false" outlineLevel="0" collapsed="false">
      <c r="A112" s="46" t="n">
        <v>46197</v>
      </c>
      <c r="B112" s="47" t="n">
        <f aca="false">DATE(YEAR(A112),MONTH(A112),1)</f>
        <v>46174</v>
      </c>
      <c r="C112" s="5" t="s">
        <v>120</v>
      </c>
      <c r="D112" s="5" t="s">
        <v>127</v>
      </c>
      <c r="E112" s="48" t="n">
        <v>-28.23</v>
      </c>
      <c r="F112" s="5"/>
      <c r="G112" s="49" t="s">
        <v>125</v>
      </c>
      <c r="H112" s="27" t="str">
        <f aca="false">IFERROR(VLOOKUP(G112,CATEGORÍAS!$A$4:$C$100,2,FALSE()),"Por revisar")</f>
        <v>Gasto</v>
      </c>
      <c r="I112" s="27" t="str">
        <f aca="false">IFERROR(VLOOKUP(G112,CATEGORÍAS!$A$4:$C$100,3,FALSE()),"")</f>
        <v>Comida</v>
      </c>
      <c r="J112" s="49"/>
      <c r="K112" s="50" t="s">
        <v>273</v>
      </c>
    </row>
    <row r="113" customFormat="false" ht="15" hidden="false" customHeight="false" outlineLevel="0" collapsed="false">
      <c r="A113" s="46" t="n">
        <v>46197</v>
      </c>
      <c r="B113" s="47" t="n">
        <f aca="false">DATE(YEAR(A113),MONTH(A113),1)</f>
        <v>46174</v>
      </c>
      <c r="C113" s="5" t="s">
        <v>91</v>
      </c>
      <c r="D113" s="5" t="s">
        <v>132</v>
      </c>
      <c r="E113" s="48" t="n">
        <v>35</v>
      </c>
      <c r="F113" s="48" t="n">
        <v>7131.91</v>
      </c>
      <c r="G113" s="49" t="s">
        <v>201</v>
      </c>
      <c r="H113" s="27" t="str">
        <f aca="false">IFERROR(VLOOKUP(G113,CATEGORÍAS!$A$4:$C$100,2,FALSE()),"Por revisar")</f>
        <v>Gasto</v>
      </c>
      <c r="I113" s="27" t="str">
        <f aca="false">IFERROR(VLOOKUP(G113,CATEGORÍAS!$A$4:$C$100,3,FALSE()),"")</f>
        <v>Comida</v>
      </c>
      <c r="J113" s="49"/>
      <c r="K113" s="50" t="s">
        <v>274</v>
      </c>
    </row>
    <row r="114" customFormat="false" ht="15" hidden="false" customHeight="false" outlineLevel="0" collapsed="false">
      <c r="A114" s="46" t="n">
        <v>46196</v>
      </c>
      <c r="B114" s="47" t="n">
        <f aca="false">DATE(YEAR(A114),MONTH(A114),1)</f>
        <v>46174</v>
      </c>
      <c r="C114" s="5" t="s">
        <v>120</v>
      </c>
      <c r="D114" s="5" t="s">
        <v>124</v>
      </c>
      <c r="E114" s="48" t="n">
        <v>-4.64</v>
      </c>
      <c r="F114" s="5"/>
      <c r="G114" s="49" t="s">
        <v>125</v>
      </c>
      <c r="H114" s="27" t="str">
        <f aca="false">IFERROR(VLOOKUP(G114,CATEGORÍAS!$A$4:$C$100,2,FALSE()),"Por revisar")</f>
        <v>Gasto</v>
      </c>
      <c r="I114" s="27" t="str">
        <f aca="false">IFERROR(VLOOKUP(G114,CATEGORÍAS!$A$4:$C$100,3,FALSE()),"")</f>
        <v>Comida</v>
      </c>
      <c r="J114" s="49"/>
      <c r="K114" s="50" t="s">
        <v>275</v>
      </c>
    </row>
    <row r="115" customFormat="false" ht="15" hidden="false" customHeight="false" outlineLevel="0" collapsed="false">
      <c r="A115" s="46" t="n">
        <v>46196</v>
      </c>
      <c r="B115" s="47" t="n">
        <f aca="false">DATE(YEAR(A115),MONTH(A115),1)</f>
        <v>46174</v>
      </c>
      <c r="C115" s="5" t="s">
        <v>120</v>
      </c>
      <c r="D115" s="5" t="s">
        <v>129</v>
      </c>
      <c r="E115" s="48" t="n">
        <v>-20</v>
      </c>
      <c r="F115" s="5"/>
      <c r="G115" s="49" t="s">
        <v>130</v>
      </c>
      <c r="H115" s="27" t="str">
        <f aca="false">IFERROR(VLOOKUP(G115,CATEGORÍAS!$A$4:$C$100,2,FALSE()),"Por revisar")</f>
        <v>Gasto</v>
      </c>
      <c r="I115" s="27" t="str">
        <f aca="false">IFERROR(VLOOKUP(G115,CATEGORÍAS!$A$4:$C$100,3,FALSE()),"")</f>
        <v>Transporte</v>
      </c>
      <c r="J115" s="49"/>
      <c r="K115" s="50" t="s">
        <v>276</v>
      </c>
    </row>
    <row r="116" customFormat="false" ht="15" hidden="false" customHeight="false" outlineLevel="0" collapsed="false">
      <c r="A116" s="46" t="n">
        <v>46194</v>
      </c>
      <c r="B116" s="47" t="n">
        <f aca="false">DATE(YEAR(A116),MONTH(A116),1)</f>
        <v>46174</v>
      </c>
      <c r="C116" s="5" t="s">
        <v>120</v>
      </c>
      <c r="D116" s="5" t="s">
        <v>146</v>
      </c>
      <c r="E116" s="48" t="n">
        <v>-47.23</v>
      </c>
      <c r="F116" s="5"/>
      <c r="G116" s="49" t="s">
        <v>130</v>
      </c>
      <c r="H116" s="27" t="str">
        <f aca="false">IFERROR(VLOOKUP(G116,CATEGORÍAS!$A$4:$C$100,2,FALSE()),"Por revisar")</f>
        <v>Gasto</v>
      </c>
      <c r="I116" s="27" t="str">
        <f aca="false">IFERROR(VLOOKUP(G116,CATEGORÍAS!$A$4:$C$100,3,FALSE()),"")</f>
        <v>Transporte</v>
      </c>
      <c r="J116" s="49"/>
      <c r="K116" s="50" t="s">
        <v>277</v>
      </c>
    </row>
    <row r="117" customFormat="false" ht="15" hidden="false" customHeight="false" outlineLevel="0" collapsed="false">
      <c r="A117" s="46" t="n">
        <v>46194</v>
      </c>
      <c r="B117" s="47" t="n">
        <f aca="false">DATE(YEAR(A117),MONTH(A117),1)</f>
        <v>46174</v>
      </c>
      <c r="C117" s="5" t="s">
        <v>120</v>
      </c>
      <c r="D117" s="5" t="s">
        <v>124</v>
      </c>
      <c r="E117" s="48" t="n">
        <v>-5.11</v>
      </c>
      <c r="F117" s="5"/>
      <c r="G117" s="49" t="s">
        <v>125</v>
      </c>
      <c r="H117" s="27" t="str">
        <f aca="false">IFERROR(VLOOKUP(G117,CATEGORÍAS!$A$4:$C$100,2,FALSE()),"Por revisar")</f>
        <v>Gasto</v>
      </c>
      <c r="I117" s="27" t="str">
        <f aca="false">IFERROR(VLOOKUP(G117,CATEGORÍAS!$A$4:$C$100,3,FALSE()),"")</f>
        <v>Comida</v>
      </c>
      <c r="J117" s="49"/>
      <c r="K117" s="50" t="s">
        <v>278</v>
      </c>
    </row>
    <row r="118" customFormat="false" ht="15" hidden="false" customHeight="false" outlineLevel="0" collapsed="false">
      <c r="A118" s="46" t="n">
        <v>46193</v>
      </c>
      <c r="B118" s="47" t="n">
        <f aca="false">DATE(YEAR(A118),MONTH(A118),1)</f>
        <v>46174</v>
      </c>
      <c r="C118" s="5" t="s">
        <v>91</v>
      </c>
      <c r="D118" s="5" t="s">
        <v>279</v>
      </c>
      <c r="E118" s="48" t="n">
        <v>2150</v>
      </c>
      <c r="F118" s="48" t="n">
        <v>7096.91</v>
      </c>
      <c r="G118" s="49" t="s">
        <v>118</v>
      </c>
      <c r="H118" s="27" t="str">
        <f aca="false">IFERROR(VLOOKUP(G118,CATEGORÍAS!$A$4:$C$100,2,FALSE()),"Por revisar")</f>
        <v>Ingreso</v>
      </c>
      <c r="I118" s="27" t="str">
        <f aca="false">IFERROR(VLOOKUP(G118,CATEGORÍAS!$A$4:$C$100,3,FALSE()),"")</f>
        <v>Trabajo</v>
      </c>
      <c r="J118" s="49"/>
      <c r="K118" s="50" t="s">
        <v>280</v>
      </c>
    </row>
    <row r="119" customFormat="false" ht="15" hidden="false" customHeight="false" outlineLevel="0" collapsed="false">
      <c r="A119" s="46" t="n">
        <v>46192</v>
      </c>
      <c r="B119" s="47" t="n">
        <f aca="false">DATE(YEAR(A119),MONTH(A119),1)</f>
        <v>46174</v>
      </c>
      <c r="C119" s="5" t="s">
        <v>120</v>
      </c>
      <c r="D119" s="5" t="s">
        <v>144</v>
      </c>
      <c r="E119" s="48" t="n">
        <v>-52.16</v>
      </c>
      <c r="F119" s="5"/>
      <c r="G119" s="49" t="s">
        <v>122</v>
      </c>
      <c r="H119" s="27" t="str">
        <f aca="false">IFERROR(VLOOKUP(G119,CATEGORÍAS!$A$4:$C$100,2,FALSE()),"Por revisar")</f>
        <v>Gasto</v>
      </c>
      <c r="I119" s="27" t="str">
        <f aca="false">IFERROR(VLOOKUP(G119,CATEGORÍAS!$A$4:$C$100,3,FALSE()),"")</f>
        <v>Comida</v>
      </c>
      <c r="J119" s="49"/>
      <c r="K119" s="50" t="s">
        <v>281</v>
      </c>
    </row>
    <row r="120" customFormat="false" ht="15" hidden="false" customHeight="false" outlineLevel="0" collapsed="false">
      <c r="A120" s="46" t="n">
        <v>46185</v>
      </c>
      <c r="B120" s="47" t="n">
        <f aca="false">DATE(YEAR(A120),MONTH(A120),1)</f>
        <v>46174</v>
      </c>
      <c r="C120" s="5" t="s">
        <v>120</v>
      </c>
      <c r="D120" s="5" t="s">
        <v>127</v>
      </c>
      <c r="E120" s="48" t="n">
        <v>-45.34</v>
      </c>
      <c r="F120" s="5"/>
      <c r="G120" s="49" t="s">
        <v>125</v>
      </c>
      <c r="H120" s="27" t="str">
        <f aca="false">IFERROR(VLOOKUP(G120,CATEGORÍAS!$A$4:$C$100,2,FALSE()),"Por revisar")</f>
        <v>Gasto</v>
      </c>
      <c r="I120" s="27" t="str">
        <f aca="false">IFERROR(VLOOKUP(G120,CATEGORÍAS!$A$4:$C$100,3,FALSE()),"")</f>
        <v>Comida</v>
      </c>
      <c r="J120" s="49"/>
      <c r="K120" s="50" t="s">
        <v>282</v>
      </c>
    </row>
    <row r="121" customFormat="false" ht="15" hidden="false" customHeight="false" outlineLevel="0" collapsed="false">
      <c r="A121" s="46" t="n">
        <v>46185</v>
      </c>
      <c r="B121" s="47" t="n">
        <f aca="false">DATE(YEAR(A121),MONTH(A121),1)</f>
        <v>46174</v>
      </c>
      <c r="C121" s="5" t="s">
        <v>91</v>
      </c>
      <c r="D121" s="5" t="s">
        <v>209</v>
      </c>
      <c r="E121" s="48" t="n">
        <v>-35.69</v>
      </c>
      <c r="F121" s="48" t="n">
        <v>4946.91</v>
      </c>
      <c r="G121" s="49" t="s">
        <v>210</v>
      </c>
      <c r="H121" s="27" t="str">
        <f aca="false">IFERROR(VLOOKUP(G121,CATEGORÍAS!$A$4:$C$100,2,FALSE()),"Por revisar")</f>
        <v>Gasto</v>
      </c>
      <c r="I121" s="27" t="str">
        <f aca="false">IFERROR(VLOOKUP(G121,CATEGORÍAS!$A$4:$C$100,3,FALSE()),"")</f>
        <v>Casa</v>
      </c>
      <c r="J121" s="49"/>
      <c r="K121" s="50" t="s">
        <v>283</v>
      </c>
    </row>
    <row r="122" customFormat="false" ht="15" hidden="false" customHeight="false" outlineLevel="0" collapsed="false">
      <c r="A122" s="46" t="n">
        <v>46184</v>
      </c>
      <c r="B122" s="47" t="n">
        <f aca="false">DATE(YEAR(A122),MONTH(A122),1)</f>
        <v>46174</v>
      </c>
      <c r="C122" s="5" t="s">
        <v>120</v>
      </c>
      <c r="D122" s="5" t="s">
        <v>121</v>
      </c>
      <c r="E122" s="48" t="n">
        <v>-21.61</v>
      </c>
      <c r="F122" s="5"/>
      <c r="G122" s="49" t="s">
        <v>122</v>
      </c>
      <c r="H122" s="27" t="str">
        <f aca="false">IFERROR(VLOOKUP(G122,CATEGORÍAS!$A$4:$C$100,2,FALSE()),"Por revisar")</f>
        <v>Gasto</v>
      </c>
      <c r="I122" s="27" t="str">
        <f aca="false">IFERROR(VLOOKUP(G122,CATEGORÍAS!$A$4:$C$100,3,FALSE()),"")</f>
        <v>Comida</v>
      </c>
      <c r="J122" s="49"/>
      <c r="K122" s="50" t="s">
        <v>284</v>
      </c>
    </row>
    <row r="123" customFormat="false" ht="15" hidden="false" customHeight="false" outlineLevel="0" collapsed="false">
      <c r="A123" s="46" t="n">
        <v>46184</v>
      </c>
      <c r="B123" s="47" t="n">
        <f aca="false">DATE(YEAR(A123),MONTH(A123),1)</f>
        <v>46174</v>
      </c>
      <c r="C123" s="5" t="s">
        <v>91</v>
      </c>
      <c r="D123" s="5" t="s">
        <v>151</v>
      </c>
      <c r="E123" s="48" t="n">
        <v>18</v>
      </c>
      <c r="F123" s="48" t="n">
        <v>4982.6</v>
      </c>
      <c r="G123" s="49" t="s">
        <v>201</v>
      </c>
      <c r="H123" s="27" t="str">
        <f aca="false">IFERROR(VLOOKUP(G123,CATEGORÍAS!$A$4:$C$100,2,FALSE()),"Por revisar")</f>
        <v>Gasto</v>
      </c>
      <c r="I123" s="27" t="str">
        <f aca="false">IFERROR(VLOOKUP(G123,CATEGORÍAS!$A$4:$C$100,3,FALSE()),"")</f>
        <v>Comida</v>
      </c>
      <c r="J123" s="49"/>
      <c r="K123" s="50" t="s">
        <v>285</v>
      </c>
    </row>
    <row r="124" customFormat="false" ht="15" hidden="false" customHeight="false" outlineLevel="0" collapsed="false">
      <c r="A124" s="46" t="n">
        <v>46182</v>
      </c>
      <c r="B124" s="47" t="n">
        <f aca="false">DATE(YEAR(A124),MONTH(A124),1)</f>
        <v>46174</v>
      </c>
      <c r="C124" s="5" t="s">
        <v>120</v>
      </c>
      <c r="D124" s="5" t="s">
        <v>144</v>
      </c>
      <c r="E124" s="48" t="n">
        <v>-61.74</v>
      </c>
      <c r="F124" s="5"/>
      <c r="G124" s="49" t="s">
        <v>122</v>
      </c>
      <c r="H124" s="27" t="str">
        <f aca="false">IFERROR(VLOOKUP(G124,CATEGORÍAS!$A$4:$C$100,2,FALSE()),"Por revisar")</f>
        <v>Gasto</v>
      </c>
      <c r="I124" s="27" t="str">
        <f aca="false">IFERROR(VLOOKUP(G124,CATEGORÍAS!$A$4:$C$100,3,FALSE()),"")</f>
        <v>Comida</v>
      </c>
      <c r="J124" s="49"/>
      <c r="K124" s="50" t="s">
        <v>286</v>
      </c>
    </row>
    <row r="125" customFormat="false" ht="15" hidden="false" customHeight="false" outlineLevel="0" collapsed="false">
      <c r="A125" s="46" t="n">
        <v>46182</v>
      </c>
      <c r="B125" s="47" t="n">
        <f aca="false">DATE(YEAR(A125),MONTH(A125),1)</f>
        <v>46174</v>
      </c>
      <c r="C125" s="5" t="s">
        <v>120</v>
      </c>
      <c r="D125" s="5" t="s">
        <v>144</v>
      </c>
      <c r="E125" s="48" t="n">
        <v>-35.11</v>
      </c>
      <c r="F125" s="5"/>
      <c r="G125" s="49" t="s">
        <v>122</v>
      </c>
      <c r="H125" s="27" t="str">
        <f aca="false">IFERROR(VLOOKUP(G125,CATEGORÍAS!$A$4:$C$100,2,FALSE()),"Por revisar")</f>
        <v>Gasto</v>
      </c>
      <c r="I125" s="27" t="str">
        <f aca="false">IFERROR(VLOOKUP(G125,CATEGORÍAS!$A$4:$C$100,3,FALSE()),"")</f>
        <v>Comida</v>
      </c>
      <c r="J125" s="49"/>
      <c r="K125" s="50" t="s">
        <v>287</v>
      </c>
    </row>
    <row r="126" customFormat="false" ht="15" hidden="false" customHeight="false" outlineLevel="0" collapsed="false">
      <c r="A126" s="46" t="n">
        <v>46182</v>
      </c>
      <c r="B126" s="47" t="n">
        <f aca="false">DATE(YEAR(A126),MONTH(A126),1)</f>
        <v>46174</v>
      </c>
      <c r="C126" s="5" t="s">
        <v>91</v>
      </c>
      <c r="D126" s="5" t="s">
        <v>153</v>
      </c>
      <c r="E126" s="48" t="n">
        <v>-12.99</v>
      </c>
      <c r="F126" s="48" t="n">
        <v>4964.6</v>
      </c>
      <c r="G126" s="49" t="s">
        <v>154</v>
      </c>
      <c r="H126" s="27" t="str">
        <f aca="false">IFERROR(VLOOKUP(G126,CATEGORÍAS!$A$4:$C$100,2,FALSE()),"Por revisar")</f>
        <v>Gasto</v>
      </c>
      <c r="I126" s="27" t="str">
        <f aca="false">IFERROR(VLOOKUP(G126,CATEGORÍAS!$A$4:$C$100,3,FALSE()),"")</f>
        <v>Personal</v>
      </c>
      <c r="J126" s="49"/>
      <c r="K126" s="50" t="s">
        <v>288</v>
      </c>
    </row>
    <row r="127" customFormat="false" ht="15" hidden="false" customHeight="false" outlineLevel="0" collapsed="false">
      <c r="A127" s="46" t="n">
        <v>46181</v>
      </c>
      <c r="B127" s="47" t="n">
        <f aca="false">DATE(YEAR(A127),MONTH(A127),1)</f>
        <v>46174</v>
      </c>
      <c r="C127" s="5" t="s">
        <v>91</v>
      </c>
      <c r="D127" s="5" t="s">
        <v>156</v>
      </c>
      <c r="E127" s="48" t="n">
        <v>-50.74</v>
      </c>
      <c r="F127" s="48" t="n">
        <v>4977.59</v>
      </c>
      <c r="G127" s="49" t="s">
        <v>157</v>
      </c>
      <c r="H127" s="27" t="str">
        <f aca="false">IFERROR(VLOOKUP(G127,CATEGORÍAS!$A$4:$C$100,2,FALSE()),"Por revisar")</f>
        <v>Gasto</v>
      </c>
      <c r="I127" s="27" t="str">
        <f aca="false">IFERROR(VLOOKUP(G127,CATEGORÍAS!$A$4:$C$100,3,FALSE()),"")</f>
        <v>Casa</v>
      </c>
      <c r="J127" s="49"/>
      <c r="K127" s="50" t="s">
        <v>289</v>
      </c>
    </row>
    <row r="128" customFormat="false" ht="15" hidden="false" customHeight="false" outlineLevel="0" collapsed="false">
      <c r="A128" s="46" t="n">
        <v>46179</v>
      </c>
      <c r="B128" s="47" t="n">
        <f aca="false">DATE(YEAR(A128),MONTH(A128),1)</f>
        <v>46174</v>
      </c>
      <c r="C128" s="5" t="s">
        <v>91</v>
      </c>
      <c r="D128" s="5" t="s">
        <v>164</v>
      </c>
      <c r="E128" s="48" t="n">
        <v>-14.95</v>
      </c>
      <c r="F128" s="48" t="n">
        <v>5028.33</v>
      </c>
      <c r="G128" s="49" t="s">
        <v>165</v>
      </c>
      <c r="H128" s="27" t="str">
        <f aca="false">IFERROR(VLOOKUP(G128,CATEGORÍAS!$A$4:$C$100,2,FALSE()),"Por revisar")</f>
        <v>Gasto</v>
      </c>
      <c r="I128" s="27" t="str">
        <f aca="false">IFERROR(VLOOKUP(G128,CATEGORÍAS!$A$4:$C$100,3,FALSE()),"")</f>
        <v>Personal</v>
      </c>
      <c r="J128" s="49"/>
      <c r="K128" s="50" t="s">
        <v>290</v>
      </c>
    </row>
    <row r="129" customFormat="false" ht="15" hidden="false" customHeight="false" outlineLevel="0" collapsed="false">
      <c r="A129" s="46" t="n">
        <v>46178</v>
      </c>
      <c r="B129" s="47" t="n">
        <f aca="false">DATE(YEAR(A129),MONTH(A129),1)</f>
        <v>46174</v>
      </c>
      <c r="C129" s="5" t="s">
        <v>120</v>
      </c>
      <c r="D129" s="5" t="s">
        <v>144</v>
      </c>
      <c r="E129" s="48" t="n">
        <v>-46.35</v>
      </c>
      <c r="F129" s="5"/>
      <c r="G129" s="49" t="s">
        <v>122</v>
      </c>
      <c r="H129" s="27" t="str">
        <f aca="false">IFERROR(VLOOKUP(G129,CATEGORÍAS!$A$4:$C$100,2,FALSE()),"Por revisar")</f>
        <v>Gasto</v>
      </c>
      <c r="I129" s="27" t="str">
        <f aca="false">IFERROR(VLOOKUP(G129,CATEGORÍAS!$A$4:$C$100,3,FALSE()),"")</f>
        <v>Comida</v>
      </c>
      <c r="J129" s="49"/>
      <c r="K129" s="50" t="s">
        <v>291</v>
      </c>
    </row>
    <row r="130" customFormat="false" ht="15" hidden="false" customHeight="false" outlineLevel="0" collapsed="false">
      <c r="A130" s="46" t="n">
        <v>46178</v>
      </c>
      <c r="B130" s="47" t="n">
        <f aca="false">DATE(YEAR(A130),MONTH(A130),1)</f>
        <v>46174</v>
      </c>
      <c r="C130" s="5" t="s">
        <v>91</v>
      </c>
      <c r="D130" s="5" t="s">
        <v>167</v>
      </c>
      <c r="E130" s="48" t="n">
        <v>-39.9</v>
      </c>
      <c r="F130" s="48" t="n">
        <v>5043.28</v>
      </c>
      <c r="G130" s="49" t="s">
        <v>168</v>
      </c>
      <c r="H130" s="27" t="str">
        <f aca="false">IFERROR(VLOOKUP(G130,CATEGORÍAS!$A$4:$C$100,2,FALSE()),"Por revisar")</f>
        <v>Gasto</v>
      </c>
      <c r="I130" s="27" t="str">
        <f aca="false">IFERROR(VLOOKUP(G130,CATEGORÍAS!$A$4:$C$100,3,FALSE()),"")</f>
        <v>Casa</v>
      </c>
      <c r="J130" s="49"/>
      <c r="K130" s="50" t="s">
        <v>292</v>
      </c>
    </row>
    <row r="131" customFormat="false" ht="15" hidden="false" customHeight="false" outlineLevel="0" collapsed="false">
      <c r="A131" s="46" t="n">
        <v>46178</v>
      </c>
      <c r="B131" s="47" t="n">
        <f aca="false">DATE(YEAR(A131),MONTH(A131),1)</f>
        <v>46174</v>
      </c>
      <c r="C131" s="5" t="s">
        <v>92</v>
      </c>
      <c r="D131" s="5" t="s">
        <v>170</v>
      </c>
      <c r="E131" s="48" t="n">
        <v>-406.34</v>
      </c>
      <c r="F131" s="48" t="n">
        <v>1360.91</v>
      </c>
      <c r="G131" s="49" t="s">
        <v>171</v>
      </c>
      <c r="H131" s="27" t="str">
        <f aca="false">IFERROR(VLOOKUP(G131,CATEGORÍAS!$A$4:$C$100,2,FALSE()),"Por revisar")</f>
        <v>Traspaso</v>
      </c>
      <c r="I131" s="27" t="str">
        <f aca="false">IFERROR(VLOOKUP(G131,CATEGORÍAS!$A$4:$C$100,3,FALSE()),"")</f>
        <v>Traspasos</v>
      </c>
      <c r="J131" s="49"/>
      <c r="K131" s="50" t="s">
        <v>293</v>
      </c>
    </row>
    <row r="132" customFormat="false" ht="15" hidden="false" customHeight="false" outlineLevel="0" collapsed="false">
      <c r="A132" s="46" t="n">
        <v>46177</v>
      </c>
      <c r="B132" s="47" t="n">
        <f aca="false">DATE(YEAR(A132),MONTH(A132),1)</f>
        <v>46174</v>
      </c>
      <c r="C132" s="5" t="s">
        <v>120</v>
      </c>
      <c r="D132" s="5" t="s">
        <v>121</v>
      </c>
      <c r="E132" s="48" t="n">
        <v>-11.75</v>
      </c>
      <c r="F132" s="5"/>
      <c r="G132" s="49" t="s">
        <v>122</v>
      </c>
      <c r="H132" s="27" t="str">
        <f aca="false">IFERROR(VLOOKUP(G132,CATEGORÍAS!$A$4:$C$100,2,FALSE()),"Por revisar")</f>
        <v>Gasto</v>
      </c>
      <c r="I132" s="27" t="str">
        <f aca="false">IFERROR(VLOOKUP(G132,CATEGORÍAS!$A$4:$C$100,3,FALSE()),"")</f>
        <v>Comida</v>
      </c>
      <c r="J132" s="49"/>
      <c r="K132" s="50" t="s">
        <v>294</v>
      </c>
    </row>
    <row r="133" customFormat="false" ht="15" hidden="false" customHeight="false" outlineLevel="0" collapsed="false">
      <c r="A133" s="46" t="n">
        <v>46177</v>
      </c>
      <c r="B133" s="47" t="n">
        <f aca="false">DATE(YEAR(A133),MONTH(A133),1)</f>
        <v>46174</v>
      </c>
      <c r="C133" s="5" t="s">
        <v>120</v>
      </c>
      <c r="D133" s="5" t="s">
        <v>124</v>
      </c>
      <c r="E133" s="48" t="n">
        <v>-6.91</v>
      </c>
      <c r="F133" s="5"/>
      <c r="G133" s="49" t="s">
        <v>125</v>
      </c>
      <c r="H133" s="27" t="str">
        <f aca="false">IFERROR(VLOOKUP(G133,CATEGORÍAS!$A$4:$C$100,2,FALSE()),"Por revisar")</f>
        <v>Gasto</v>
      </c>
      <c r="I133" s="27" t="str">
        <f aca="false">IFERROR(VLOOKUP(G133,CATEGORÍAS!$A$4:$C$100,3,FALSE()),"")</f>
        <v>Comida</v>
      </c>
      <c r="J133" s="49"/>
      <c r="K133" s="50" t="s">
        <v>295</v>
      </c>
    </row>
    <row r="134" customFormat="false" ht="15" hidden="false" customHeight="false" outlineLevel="0" collapsed="false">
      <c r="A134" s="46" t="n">
        <v>46177</v>
      </c>
      <c r="B134" s="47" t="n">
        <f aca="false">DATE(YEAR(A134),MONTH(A134),1)</f>
        <v>46174</v>
      </c>
      <c r="C134" s="5" t="s">
        <v>120</v>
      </c>
      <c r="D134" s="5" t="s">
        <v>173</v>
      </c>
      <c r="E134" s="48" t="n">
        <v>-14.95</v>
      </c>
      <c r="F134" s="5"/>
      <c r="G134" s="49" t="s">
        <v>174</v>
      </c>
      <c r="H134" s="27" t="str">
        <f aca="false">IFERROR(VLOOKUP(G134,CATEGORÍAS!$A$4:$C$100,2,FALSE()),"Por revisar")</f>
        <v>Gasto</v>
      </c>
      <c r="I134" s="27" t="str">
        <f aca="false">IFERROR(VLOOKUP(G134,CATEGORÍAS!$A$4:$C$100,3,FALSE()),"")</f>
        <v>Ocio</v>
      </c>
      <c r="J134" s="49"/>
      <c r="K134" s="50" t="s">
        <v>296</v>
      </c>
    </row>
    <row r="135" customFormat="false" ht="15" hidden="false" customHeight="false" outlineLevel="0" collapsed="false">
      <c r="A135" s="46" t="n">
        <v>46176</v>
      </c>
      <c r="B135" s="47" t="n">
        <f aca="false">DATE(YEAR(A135),MONTH(A135),1)</f>
        <v>46174</v>
      </c>
      <c r="C135" s="5" t="s">
        <v>91</v>
      </c>
      <c r="D135" s="5" t="s">
        <v>177</v>
      </c>
      <c r="E135" s="48" t="n">
        <v>-150</v>
      </c>
      <c r="F135" s="48" t="n">
        <v>5083.18</v>
      </c>
      <c r="G135" s="49" t="s">
        <v>178</v>
      </c>
      <c r="H135" s="27" t="str">
        <f aca="false">IFERROR(VLOOKUP(G135,CATEGORÍAS!$A$4:$C$100,2,FALSE()),"Por revisar")</f>
        <v>Gasto</v>
      </c>
      <c r="I135" s="27" t="str">
        <f aca="false">IFERROR(VLOOKUP(G135,CATEGORÍAS!$A$4:$C$100,3,FALSE()),"")</f>
        <v>Viajes</v>
      </c>
      <c r="J135" s="49"/>
      <c r="K135" s="50" t="s">
        <v>297</v>
      </c>
    </row>
    <row r="136" customFormat="false" ht="15" hidden="false" customHeight="false" outlineLevel="0" collapsed="false">
      <c r="A136" s="46" t="n">
        <v>46175</v>
      </c>
      <c r="B136" s="47" t="n">
        <f aca="false">DATE(YEAR(A136),MONTH(A136),1)</f>
        <v>46174</v>
      </c>
      <c r="C136" s="5" t="s">
        <v>91</v>
      </c>
      <c r="D136" s="5" t="s">
        <v>180</v>
      </c>
      <c r="E136" s="48" t="n">
        <v>-300</v>
      </c>
      <c r="F136" s="48" t="n">
        <v>5713.18</v>
      </c>
      <c r="G136" s="49" t="s">
        <v>181</v>
      </c>
      <c r="H136" s="27" t="str">
        <f aca="false">IFERROR(VLOOKUP(G136,CATEGORÍAS!$A$4:$C$100,2,FALSE()),"Por revisar")</f>
        <v>Traspaso</v>
      </c>
      <c r="I136" s="27" t="str">
        <f aca="false">IFERROR(VLOOKUP(G136,CATEGORÍAS!$A$4:$C$100,3,FALSE()),"")</f>
        <v>Traspasos</v>
      </c>
      <c r="J136" s="49"/>
      <c r="K136" s="50" t="s">
        <v>298</v>
      </c>
    </row>
    <row r="137" customFormat="false" ht="15" hidden="false" customHeight="false" outlineLevel="0" collapsed="false">
      <c r="A137" s="46" t="n">
        <v>46175</v>
      </c>
      <c r="B137" s="47" t="n">
        <f aca="false">DATE(YEAR(A137),MONTH(A137),1)</f>
        <v>46174</v>
      </c>
      <c r="C137" s="5" t="s">
        <v>91</v>
      </c>
      <c r="D137" s="5" t="s">
        <v>183</v>
      </c>
      <c r="E137" s="48" t="n">
        <v>-480</v>
      </c>
      <c r="F137" s="48" t="n">
        <v>5233.18</v>
      </c>
      <c r="G137" s="49" t="s">
        <v>181</v>
      </c>
      <c r="H137" s="27" t="str">
        <f aca="false">IFERROR(VLOOKUP(G137,CATEGORÍAS!$A$4:$C$100,2,FALSE()),"Por revisar")</f>
        <v>Traspaso</v>
      </c>
      <c r="I137" s="27" t="str">
        <f aca="false">IFERROR(VLOOKUP(G137,CATEGORÍAS!$A$4:$C$100,3,FALSE()),"")</f>
        <v>Traspasos</v>
      </c>
      <c r="J137" s="49"/>
      <c r="K137" s="50" t="s">
        <v>299</v>
      </c>
    </row>
    <row r="138" customFormat="false" ht="15" hidden="false" customHeight="false" outlineLevel="0" collapsed="false">
      <c r="A138" s="46" t="n">
        <v>46175</v>
      </c>
      <c r="B138" s="47" t="n">
        <f aca="false">DATE(YEAR(A138),MONTH(A138),1)</f>
        <v>46174</v>
      </c>
      <c r="C138" s="5" t="s">
        <v>93</v>
      </c>
      <c r="D138" s="5" t="s">
        <v>185</v>
      </c>
      <c r="E138" s="48" t="n">
        <v>300</v>
      </c>
      <c r="F138" s="48" t="n">
        <v>54967.34</v>
      </c>
      <c r="G138" s="49" t="s">
        <v>181</v>
      </c>
      <c r="H138" s="27" t="str">
        <f aca="false">IFERROR(VLOOKUP(G138,CATEGORÍAS!$A$4:$C$100,2,FALSE()),"Por revisar")</f>
        <v>Traspaso</v>
      </c>
      <c r="I138" s="27" t="str">
        <f aca="false">IFERROR(VLOOKUP(G138,CATEGORÍAS!$A$4:$C$100,3,FALSE()),"")</f>
        <v>Traspasos</v>
      </c>
      <c r="J138" s="49"/>
      <c r="K138" s="50" t="s">
        <v>300</v>
      </c>
    </row>
    <row r="139" customFormat="false" ht="15" hidden="false" customHeight="false" outlineLevel="0" collapsed="false">
      <c r="A139" s="46" t="n">
        <v>46175</v>
      </c>
      <c r="B139" s="47" t="n">
        <f aca="false">DATE(YEAR(A139),MONTH(A139),1)</f>
        <v>46174</v>
      </c>
      <c r="C139" s="5" t="s">
        <v>92</v>
      </c>
      <c r="D139" s="5" t="s">
        <v>185</v>
      </c>
      <c r="E139" s="48" t="n">
        <v>480</v>
      </c>
      <c r="F139" s="48" t="n">
        <v>1767.25</v>
      </c>
      <c r="G139" s="49" t="s">
        <v>181</v>
      </c>
      <c r="H139" s="27" t="str">
        <f aca="false">IFERROR(VLOOKUP(G139,CATEGORÍAS!$A$4:$C$100,2,FALSE()),"Por revisar")</f>
        <v>Traspaso</v>
      </c>
      <c r="I139" s="27" t="str">
        <f aca="false">IFERROR(VLOOKUP(G139,CATEGORÍAS!$A$4:$C$100,3,FALSE()),"")</f>
        <v>Traspasos</v>
      </c>
      <c r="J139" s="49"/>
      <c r="K139" s="50" t="s">
        <v>301</v>
      </c>
    </row>
    <row r="140" customFormat="false" ht="15" hidden="false" customHeight="false" outlineLevel="0" collapsed="false">
      <c r="A140" s="46" t="n">
        <v>46174</v>
      </c>
      <c r="B140" s="47" t="n">
        <f aca="false">DATE(YEAR(A140),MONTH(A140),1)</f>
        <v>46174</v>
      </c>
      <c r="C140" s="5" t="s">
        <v>120</v>
      </c>
      <c r="D140" s="5" t="s">
        <v>135</v>
      </c>
      <c r="E140" s="48" t="n">
        <v>-13.8</v>
      </c>
      <c r="F140" s="5"/>
      <c r="G140" s="49" t="s">
        <v>136</v>
      </c>
      <c r="H140" s="27" t="str">
        <f aca="false">IFERROR(VLOOKUP(G140,CATEGORÍAS!$A$4:$C$100,2,FALSE()),"Por revisar")</f>
        <v>Gasto</v>
      </c>
      <c r="I140" s="27" t="str">
        <f aca="false">IFERROR(VLOOKUP(G140,CATEGORÍAS!$A$4:$C$100,3,FALSE()),"")</f>
        <v>Personal</v>
      </c>
      <c r="J140" s="49"/>
      <c r="K140" s="50" t="s">
        <v>302</v>
      </c>
    </row>
    <row r="141" customFormat="false" ht="15" hidden="false" customHeight="false" outlineLevel="0" collapsed="false">
      <c r="A141" s="46" t="n">
        <v>46174</v>
      </c>
      <c r="B141" s="47" t="n">
        <f aca="false">DATE(YEAR(A141),MONTH(A141),1)</f>
        <v>46174</v>
      </c>
      <c r="C141" s="5" t="s">
        <v>91</v>
      </c>
      <c r="D141" s="5" t="s">
        <v>303</v>
      </c>
      <c r="E141" s="48" t="n">
        <v>-850</v>
      </c>
      <c r="F141" s="48" t="n">
        <v>6013.18</v>
      </c>
      <c r="G141" s="49" t="s">
        <v>189</v>
      </c>
      <c r="H141" s="27" t="str">
        <f aca="false">IFERROR(VLOOKUP(G141,CATEGORÍAS!$A$4:$C$100,2,FALSE()),"Por revisar")</f>
        <v>Gasto</v>
      </c>
      <c r="I141" s="27" t="str">
        <f aca="false">IFERROR(VLOOKUP(G141,CATEGORÍAS!$A$4:$C$100,3,FALSE()),"")</f>
        <v>Casa</v>
      </c>
      <c r="J141" s="49"/>
      <c r="K141" s="50" t="s">
        <v>304</v>
      </c>
    </row>
    <row r="142" customFormat="false" ht="15" hidden="false" customHeight="false" outlineLevel="0" collapsed="false">
      <c r="A142" s="46" t="n">
        <v>46173</v>
      </c>
      <c r="B142" s="47" t="n">
        <f aca="false">DATE(YEAR(A142),MONTH(A142),1)</f>
        <v>46143</v>
      </c>
      <c r="C142" s="5" t="s">
        <v>93</v>
      </c>
      <c r="D142" s="5" t="s">
        <v>114</v>
      </c>
      <c r="E142" s="48" t="n">
        <v>34.15</v>
      </c>
      <c r="F142" s="48" t="n">
        <v>54667.34</v>
      </c>
      <c r="G142" s="49" t="s">
        <v>115</v>
      </c>
      <c r="H142" s="27" t="str">
        <f aca="false">IFERROR(VLOOKUP(G142,CATEGORÍAS!$A$4:$C$100,2,FALSE()),"Por revisar")</f>
        <v>Ingreso</v>
      </c>
      <c r="I142" s="27" t="str">
        <f aca="false">IFERROR(VLOOKUP(G142,CATEGORÍAS!$A$4:$C$100,3,FALSE()),"")</f>
        <v>Ahorro</v>
      </c>
      <c r="J142" s="49"/>
      <c r="K142" s="50" t="s">
        <v>305</v>
      </c>
    </row>
    <row r="143" customFormat="false" ht="15" hidden="false" customHeight="false" outlineLevel="0" collapsed="false">
      <c r="A143" s="46" t="n">
        <v>46170</v>
      </c>
      <c r="B143" s="47" t="n">
        <f aca="false">DATE(YEAR(A143),MONTH(A143),1)</f>
        <v>46143</v>
      </c>
      <c r="C143" s="5" t="s">
        <v>91</v>
      </c>
      <c r="D143" s="5" t="s">
        <v>117</v>
      </c>
      <c r="E143" s="48" t="n">
        <v>2150</v>
      </c>
      <c r="F143" s="48" t="n">
        <v>6863.18</v>
      </c>
      <c r="G143" s="49" t="s">
        <v>118</v>
      </c>
      <c r="H143" s="27" t="str">
        <f aca="false">IFERROR(VLOOKUP(G143,CATEGORÍAS!$A$4:$C$100,2,FALSE()),"Por revisar")</f>
        <v>Ingreso</v>
      </c>
      <c r="I143" s="27" t="str">
        <f aca="false">IFERROR(VLOOKUP(G143,CATEGORÍAS!$A$4:$C$100,3,FALSE()),"")</f>
        <v>Trabajo</v>
      </c>
      <c r="J143" s="49"/>
      <c r="K143" s="50" t="s">
        <v>306</v>
      </c>
    </row>
    <row r="144" customFormat="false" ht="15" hidden="false" customHeight="false" outlineLevel="0" collapsed="false">
      <c r="A144" s="46" t="n">
        <v>46168</v>
      </c>
      <c r="B144" s="47" t="n">
        <f aca="false">DATE(YEAR(A144),MONTH(A144),1)</f>
        <v>46143</v>
      </c>
      <c r="C144" s="5" t="s">
        <v>120</v>
      </c>
      <c r="D144" s="5" t="s">
        <v>127</v>
      </c>
      <c r="E144" s="48" t="n">
        <v>-39.81</v>
      </c>
      <c r="F144" s="5"/>
      <c r="G144" s="49" t="s">
        <v>125</v>
      </c>
      <c r="H144" s="27" t="str">
        <f aca="false">IFERROR(VLOOKUP(G144,CATEGORÍAS!$A$4:$C$100,2,FALSE()),"Por revisar")</f>
        <v>Gasto</v>
      </c>
      <c r="I144" s="27" t="str">
        <f aca="false">IFERROR(VLOOKUP(G144,CATEGORÍAS!$A$4:$C$100,3,FALSE()),"")</f>
        <v>Comida</v>
      </c>
      <c r="J144" s="49"/>
      <c r="K144" s="50" t="s">
        <v>307</v>
      </c>
    </row>
    <row r="145" customFormat="false" ht="15" hidden="false" customHeight="false" outlineLevel="0" collapsed="false">
      <c r="A145" s="46" t="n">
        <v>46167</v>
      </c>
      <c r="B145" s="47" t="n">
        <f aca="false">DATE(YEAR(A145),MONTH(A145),1)</f>
        <v>46143</v>
      </c>
      <c r="C145" s="5" t="s">
        <v>120</v>
      </c>
      <c r="D145" s="5" t="s">
        <v>129</v>
      </c>
      <c r="E145" s="48" t="n">
        <v>-20</v>
      </c>
      <c r="F145" s="5"/>
      <c r="G145" s="49" t="s">
        <v>130</v>
      </c>
      <c r="H145" s="27" t="str">
        <f aca="false">IFERROR(VLOOKUP(G145,CATEGORÍAS!$A$4:$C$100,2,FALSE()),"Por revisar")</f>
        <v>Gasto</v>
      </c>
      <c r="I145" s="27" t="str">
        <f aca="false">IFERROR(VLOOKUP(G145,CATEGORÍAS!$A$4:$C$100,3,FALSE()),"")</f>
        <v>Transporte</v>
      </c>
      <c r="J145" s="49"/>
      <c r="K145" s="50" t="s">
        <v>308</v>
      </c>
    </row>
    <row r="146" customFormat="false" ht="15" hidden="false" customHeight="false" outlineLevel="0" collapsed="false">
      <c r="A146" s="46" t="n">
        <v>46166</v>
      </c>
      <c r="B146" s="47" t="n">
        <f aca="false">DATE(YEAR(A146),MONTH(A146),1)</f>
        <v>46143</v>
      </c>
      <c r="C146" s="5" t="s">
        <v>120</v>
      </c>
      <c r="D146" s="5" t="s">
        <v>159</v>
      </c>
      <c r="E146" s="48" t="n">
        <v>-20.46</v>
      </c>
      <c r="F146" s="5"/>
      <c r="G146" s="49" t="s">
        <v>160</v>
      </c>
      <c r="H146" s="27" t="str">
        <f aca="false">IFERROR(VLOOKUP(G146,CATEGORÍAS!$A$4:$C$100,2,FALSE()),"Por revisar")</f>
        <v>Gasto</v>
      </c>
      <c r="I146" s="27" t="str">
        <f aca="false">IFERROR(VLOOKUP(G146,CATEGORÍAS!$A$4:$C$100,3,FALSE()),"")</f>
        <v>Salud</v>
      </c>
      <c r="J146" s="49"/>
      <c r="K146" s="50" t="s">
        <v>309</v>
      </c>
    </row>
    <row r="147" customFormat="false" ht="15" hidden="false" customHeight="false" outlineLevel="0" collapsed="false">
      <c r="A147" s="46" t="n">
        <v>46166</v>
      </c>
      <c r="B147" s="47" t="n">
        <f aca="false">DATE(YEAR(A147),MONTH(A147),1)</f>
        <v>46143</v>
      </c>
      <c r="C147" s="5" t="s">
        <v>91</v>
      </c>
      <c r="D147" s="5" t="s">
        <v>200</v>
      </c>
      <c r="E147" s="48" t="n">
        <v>-35</v>
      </c>
      <c r="F147" s="48" t="n">
        <v>4713.18</v>
      </c>
      <c r="G147" s="49" t="s">
        <v>201</v>
      </c>
      <c r="H147" s="27" t="str">
        <f aca="false">IFERROR(VLOOKUP(G147,CATEGORÍAS!$A$4:$C$100,2,FALSE()),"Por revisar")</f>
        <v>Gasto</v>
      </c>
      <c r="I147" s="27" t="str">
        <f aca="false">IFERROR(VLOOKUP(G147,CATEGORÍAS!$A$4:$C$100,3,FALSE()),"")</f>
        <v>Comida</v>
      </c>
      <c r="J147" s="49"/>
      <c r="K147" s="50" t="s">
        <v>310</v>
      </c>
    </row>
    <row r="148" customFormat="false" ht="15" hidden="false" customHeight="false" outlineLevel="0" collapsed="false">
      <c r="A148" s="46" t="n">
        <v>46164</v>
      </c>
      <c r="B148" s="47" t="n">
        <f aca="false">DATE(YEAR(A148),MONTH(A148),1)</f>
        <v>46143</v>
      </c>
      <c r="C148" s="5" t="s">
        <v>120</v>
      </c>
      <c r="D148" s="5" t="s">
        <v>144</v>
      </c>
      <c r="E148" s="48" t="n">
        <v>-63.88</v>
      </c>
      <c r="F148" s="5"/>
      <c r="G148" s="49" t="s">
        <v>122</v>
      </c>
      <c r="H148" s="27" t="str">
        <f aca="false">IFERROR(VLOOKUP(G148,CATEGORÍAS!$A$4:$C$100,2,FALSE()),"Por revisar")</f>
        <v>Gasto</v>
      </c>
      <c r="I148" s="27" t="str">
        <f aca="false">IFERROR(VLOOKUP(G148,CATEGORÍAS!$A$4:$C$100,3,FALSE()),"")</f>
        <v>Comida</v>
      </c>
      <c r="J148" s="49"/>
      <c r="K148" s="50" t="s">
        <v>311</v>
      </c>
    </row>
    <row r="149" customFormat="false" ht="15" hidden="false" customHeight="false" outlineLevel="0" collapsed="false">
      <c r="A149" s="46" t="n">
        <v>46164</v>
      </c>
      <c r="B149" s="47" t="n">
        <f aca="false">DATE(YEAR(A149),MONTH(A149),1)</f>
        <v>46143</v>
      </c>
      <c r="C149" s="5" t="s">
        <v>91</v>
      </c>
      <c r="D149" s="5" t="s">
        <v>140</v>
      </c>
      <c r="E149" s="48" t="n">
        <v>-22</v>
      </c>
      <c r="F149" s="48" t="n">
        <v>4748.18</v>
      </c>
      <c r="G149" s="49" t="s">
        <v>141</v>
      </c>
      <c r="H149" s="27" t="str">
        <f aca="false">IFERROR(VLOOKUP(G149,CATEGORÍAS!$A$4:$C$100,2,FALSE()),"Por revisar")</f>
        <v>Gasto</v>
      </c>
      <c r="I149" s="27" t="str">
        <f aca="false">IFERROR(VLOOKUP(G149,CATEGORÍAS!$A$4:$C$100,3,FALSE()),"")</f>
        <v>Personal</v>
      </c>
      <c r="J149" s="49"/>
      <c r="K149" s="50" t="s">
        <v>312</v>
      </c>
    </row>
    <row r="150" customFormat="false" ht="15" hidden="false" customHeight="false" outlineLevel="0" collapsed="false">
      <c r="A150" s="46" t="n">
        <v>46163</v>
      </c>
      <c r="B150" s="47" t="n">
        <f aca="false">DATE(YEAR(A150),MONTH(A150),1)</f>
        <v>46143</v>
      </c>
      <c r="C150" s="5" t="s">
        <v>120</v>
      </c>
      <c r="D150" s="5" t="s">
        <v>124</v>
      </c>
      <c r="E150" s="48" t="n">
        <v>-3.26</v>
      </c>
      <c r="F150" s="5"/>
      <c r="G150" s="49" t="s">
        <v>125</v>
      </c>
      <c r="H150" s="27" t="str">
        <f aca="false">IFERROR(VLOOKUP(G150,CATEGORÍAS!$A$4:$C$100,2,FALSE()),"Por revisar")</f>
        <v>Gasto</v>
      </c>
      <c r="I150" s="27" t="str">
        <f aca="false">IFERROR(VLOOKUP(G150,CATEGORÍAS!$A$4:$C$100,3,FALSE()),"")</f>
        <v>Comida</v>
      </c>
      <c r="J150" s="49"/>
      <c r="K150" s="50" t="s">
        <v>313</v>
      </c>
    </row>
    <row r="151" customFormat="false" ht="15" hidden="false" customHeight="false" outlineLevel="0" collapsed="false">
      <c r="A151" s="46" t="n">
        <v>46162</v>
      </c>
      <c r="B151" s="47" t="n">
        <f aca="false">DATE(YEAR(A151),MONTH(A151),1)</f>
        <v>46143</v>
      </c>
      <c r="C151" s="5" t="s">
        <v>120</v>
      </c>
      <c r="D151" s="5" t="s">
        <v>121</v>
      </c>
      <c r="E151" s="48" t="n">
        <v>-11.47</v>
      </c>
      <c r="F151" s="5"/>
      <c r="G151" s="49" t="s">
        <v>122</v>
      </c>
      <c r="H151" s="27" t="str">
        <f aca="false">IFERROR(VLOOKUP(G151,CATEGORÍAS!$A$4:$C$100,2,FALSE()),"Por revisar")</f>
        <v>Gasto</v>
      </c>
      <c r="I151" s="27" t="str">
        <f aca="false">IFERROR(VLOOKUP(G151,CATEGORÍAS!$A$4:$C$100,3,FALSE()),"")</f>
        <v>Comida</v>
      </c>
      <c r="J151" s="49"/>
      <c r="K151" s="50" t="s">
        <v>314</v>
      </c>
    </row>
    <row r="152" customFormat="false" ht="15" hidden="false" customHeight="false" outlineLevel="0" collapsed="false">
      <c r="A152" s="46" t="n">
        <v>46159</v>
      </c>
      <c r="B152" s="47" t="n">
        <f aca="false">DATE(YEAR(A152),MONTH(A152),1)</f>
        <v>46143</v>
      </c>
      <c r="C152" s="5" t="s">
        <v>120</v>
      </c>
      <c r="D152" s="5" t="s">
        <v>144</v>
      </c>
      <c r="E152" s="48" t="n">
        <v>-19.53</v>
      </c>
      <c r="F152" s="5"/>
      <c r="G152" s="49" t="s">
        <v>122</v>
      </c>
      <c r="H152" s="27" t="str">
        <f aca="false">IFERROR(VLOOKUP(G152,CATEGORÍAS!$A$4:$C$100,2,FALSE()),"Por revisar")</f>
        <v>Gasto</v>
      </c>
      <c r="I152" s="27" t="str">
        <f aca="false">IFERROR(VLOOKUP(G152,CATEGORÍAS!$A$4:$C$100,3,FALSE()),"")</f>
        <v>Comida</v>
      </c>
      <c r="J152" s="49"/>
      <c r="K152" s="50" t="s">
        <v>315</v>
      </c>
    </row>
    <row r="153" customFormat="false" ht="15" hidden="false" customHeight="false" outlineLevel="0" collapsed="false">
      <c r="A153" s="46" t="n">
        <v>46158</v>
      </c>
      <c r="B153" s="47" t="n">
        <f aca="false">DATE(YEAR(A153),MONTH(A153),1)</f>
        <v>46143</v>
      </c>
      <c r="C153" s="5" t="s">
        <v>120</v>
      </c>
      <c r="D153" s="5" t="s">
        <v>124</v>
      </c>
      <c r="E153" s="48" t="n">
        <v>-3.2</v>
      </c>
      <c r="F153" s="5"/>
      <c r="G153" s="49" t="s">
        <v>125</v>
      </c>
      <c r="H153" s="27" t="str">
        <f aca="false">IFERROR(VLOOKUP(G153,CATEGORÍAS!$A$4:$C$100,2,FALSE()),"Por revisar")</f>
        <v>Gasto</v>
      </c>
      <c r="I153" s="27" t="str">
        <f aca="false">IFERROR(VLOOKUP(G153,CATEGORÍAS!$A$4:$C$100,3,FALSE()),"")</f>
        <v>Comida</v>
      </c>
      <c r="J153" s="49"/>
      <c r="K153" s="50" t="s">
        <v>316</v>
      </c>
    </row>
    <row r="154" customFormat="false" ht="15" hidden="false" customHeight="false" outlineLevel="0" collapsed="false">
      <c r="A154" s="46" t="n">
        <v>46156</v>
      </c>
      <c r="B154" s="47" t="n">
        <f aca="false">DATE(YEAR(A154),MONTH(A154),1)</f>
        <v>46143</v>
      </c>
      <c r="C154" s="5" t="s">
        <v>120</v>
      </c>
      <c r="D154" s="5" t="s">
        <v>146</v>
      </c>
      <c r="E154" s="48" t="n">
        <v>-45.13</v>
      </c>
      <c r="F154" s="5"/>
      <c r="G154" s="49" t="s">
        <v>130</v>
      </c>
      <c r="H154" s="27" t="str">
        <f aca="false">IFERROR(VLOOKUP(G154,CATEGORÍAS!$A$4:$C$100,2,FALSE()),"Por revisar")</f>
        <v>Gasto</v>
      </c>
      <c r="I154" s="27" t="str">
        <f aca="false">IFERROR(VLOOKUP(G154,CATEGORÍAS!$A$4:$C$100,3,FALSE()),"")</f>
        <v>Transporte</v>
      </c>
      <c r="J154" s="49"/>
      <c r="K154" s="50" t="s">
        <v>317</v>
      </c>
    </row>
    <row r="155" customFormat="false" ht="15" hidden="false" customHeight="false" outlineLevel="0" collapsed="false">
      <c r="A155" s="46" t="n">
        <v>46154</v>
      </c>
      <c r="B155" s="47" t="n">
        <f aca="false">DATE(YEAR(A155),MONTH(A155),1)</f>
        <v>46143</v>
      </c>
      <c r="C155" s="5" t="s">
        <v>120</v>
      </c>
      <c r="D155" s="5" t="s">
        <v>127</v>
      </c>
      <c r="E155" s="48" t="n">
        <v>-24.97</v>
      </c>
      <c r="F155" s="5"/>
      <c r="G155" s="49" t="s">
        <v>125</v>
      </c>
      <c r="H155" s="27" t="str">
        <f aca="false">IFERROR(VLOOKUP(G155,CATEGORÍAS!$A$4:$C$100,2,FALSE()),"Por revisar")</f>
        <v>Gasto</v>
      </c>
      <c r="I155" s="27" t="str">
        <f aca="false">IFERROR(VLOOKUP(G155,CATEGORÍAS!$A$4:$C$100,3,FALSE()),"")</f>
        <v>Comida</v>
      </c>
      <c r="J155" s="49"/>
      <c r="K155" s="50" t="s">
        <v>318</v>
      </c>
    </row>
    <row r="156" customFormat="false" ht="15" hidden="false" customHeight="false" outlineLevel="0" collapsed="false">
      <c r="A156" s="46" t="n">
        <v>46154</v>
      </c>
      <c r="B156" s="47" t="n">
        <f aca="false">DATE(YEAR(A156),MONTH(A156),1)</f>
        <v>46143</v>
      </c>
      <c r="C156" s="5" t="s">
        <v>120</v>
      </c>
      <c r="D156" s="5" t="s">
        <v>124</v>
      </c>
      <c r="E156" s="48" t="n">
        <v>-6.94</v>
      </c>
      <c r="F156" s="5"/>
      <c r="G156" s="49" t="s">
        <v>125</v>
      </c>
      <c r="H156" s="27" t="str">
        <f aca="false">IFERROR(VLOOKUP(G156,CATEGORÍAS!$A$4:$C$100,2,FALSE()),"Por revisar")</f>
        <v>Gasto</v>
      </c>
      <c r="I156" s="27" t="str">
        <f aca="false">IFERROR(VLOOKUP(G156,CATEGORÍAS!$A$4:$C$100,3,FALSE()),"")</f>
        <v>Comida</v>
      </c>
      <c r="J156" s="49"/>
      <c r="K156" s="50" t="s">
        <v>319</v>
      </c>
    </row>
    <row r="157" customFormat="false" ht="15" hidden="false" customHeight="false" outlineLevel="0" collapsed="false">
      <c r="A157" s="46" t="n">
        <v>46153</v>
      </c>
      <c r="B157" s="47" t="n">
        <f aca="false">DATE(YEAR(A157),MONTH(A157),1)</f>
        <v>46143</v>
      </c>
      <c r="C157" s="5" t="s">
        <v>120</v>
      </c>
      <c r="D157" s="5" t="s">
        <v>135</v>
      </c>
      <c r="E157" s="48" t="n">
        <v>-20.48</v>
      </c>
      <c r="F157" s="5"/>
      <c r="G157" s="49" t="s">
        <v>136</v>
      </c>
      <c r="H157" s="27" t="str">
        <f aca="false">IFERROR(VLOOKUP(G157,CATEGORÍAS!$A$4:$C$100,2,FALSE()),"Por revisar")</f>
        <v>Gasto</v>
      </c>
      <c r="I157" s="27" t="str">
        <f aca="false">IFERROR(VLOOKUP(G157,CATEGORÍAS!$A$4:$C$100,3,FALSE()),"")</f>
        <v>Personal</v>
      </c>
      <c r="J157" s="49"/>
      <c r="K157" s="50" t="s">
        <v>320</v>
      </c>
    </row>
    <row r="158" customFormat="false" ht="15" hidden="false" customHeight="false" outlineLevel="0" collapsed="false">
      <c r="A158" s="46" t="n">
        <v>46153</v>
      </c>
      <c r="B158" s="47" t="n">
        <f aca="false">DATE(YEAR(A158),MONTH(A158),1)</f>
        <v>46143</v>
      </c>
      <c r="C158" s="5" t="s">
        <v>91</v>
      </c>
      <c r="D158" s="5" t="s">
        <v>151</v>
      </c>
      <c r="E158" s="48" t="n">
        <v>25</v>
      </c>
      <c r="F158" s="48" t="n">
        <v>4770.18</v>
      </c>
      <c r="G158" s="49" t="s">
        <v>201</v>
      </c>
      <c r="H158" s="27" t="str">
        <f aca="false">IFERROR(VLOOKUP(G158,CATEGORÍAS!$A$4:$C$100,2,FALSE()),"Por revisar")</f>
        <v>Gasto</v>
      </c>
      <c r="I158" s="27" t="str">
        <f aca="false">IFERROR(VLOOKUP(G158,CATEGORÍAS!$A$4:$C$100,3,FALSE()),"")</f>
        <v>Comida</v>
      </c>
      <c r="J158" s="49"/>
      <c r="K158" s="50" t="s">
        <v>321</v>
      </c>
    </row>
    <row r="159" customFormat="false" ht="15" hidden="false" customHeight="false" outlineLevel="0" collapsed="false">
      <c r="A159" s="46" t="n">
        <v>46152</v>
      </c>
      <c r="B159" s="47" t="n">
        <f aca="false">DATE(YEAR(A159),MONTH(A159),1)</f>
        <v>46143</v>
      </c>
      <c r="C159" s="5" t="s">
        <v>120</v>
      </c>
      <c r="D159" s="5" t="s">
        <v>121</v>
      </c>
      <c r="E159" s="48" t="n">
        <v>-11.03</v>
      </c>
      <c r="F159" s="5"/>
      <c r="G159" s="49" t="s">
        <v>122</v>
      </c>
      <c r="H159" s="27" t="str">
        <f aca="false">IFERROR(VLOOKUP(G159,CATEGORÍAS!$A$4:$C$100,2,FALSE()),"Por revisar")</f>
        <v>Gasto</v>
      </c>
      <c r="I159" s="27" t="str">
        <f aca="false">IFERROR(VLOOKUP(G159,CATEGORÍAS!$A$4:$C$100,3,FALSE()),"")</f>
        <v>Comida</v>
      </c>
      <c r="J159" s="49"/>
      <c r="K159" s="50" t="s">
        <v>322</v>
      </c>
    </row>
    <row r="160" customFormat="false" ht="15" hidden="false" customHeight="false" outlineLevel="0" collapsed="false">
      <c r="A160" s="46" t="n">
        <v>46151</v>
      </c>
      <c r="B160" s="47" t="n">
        <f aca="false">DATE(YEAR(A160),MONTH(A160),1)</f>
        <v>46143</v>
      </c>
      <c r="C160" s="5" t="s">
        <v>91</v>
      </c>
      <c r="D160" s="5" t="s">
        <v>153</v>
      </c>
      <c r="E160" s="48" t="n">
        <v>-12.99</v>
      </c>
      <c r="F160" s="48" t="n">
        <v>4745.18</v>
      </c>
      <c r="G160" s="49" t="s">
        <v>154</v>
      </c>
      <c r="H160" s="27" t="str">
        <f aca="false">IFERROR(VLOOKUP(G160,CATEGORÍAS!$A$4:$C$100,2,FALSE()),"Por revisar")</f>
        <v>Gasto</v>
      </c>
      <c r="I160" s="27" t="str">
        <f aca="false">IFERROR(VLOOKUP(G160,CATEGORÍAS!$A$4:$C$100,3,FALSE()),"")</f>
        <v>Personal</v>
      </c>
      <c r="J160" s="49"/>
      <c r="K160" s="50" t="s">
        <v>323</v>
      </c>
    </row>
    <row r="161" customFormat="false" ht="15" hidden="false" customHeight="false" outlineLevel="0" collapsed="false">
      <c r="A161" s="46" t="n">
        <v>46150</v>
      </c>
      <c r="B161" s="47" t="n">
        <f aca="false">DATE(YEAR(A161),MONTH(A161),1)</f>
        <v>46143</v>
      </c>
      <c r="C161" s="5" t="s">
        <v>120</v>
      </c>
      <c r="D161" s="5" t="s">
        <v>173</v>
      </c>
      <c r="E161" s="48" t="n">
        <v>-16.79</v>
      </c>
      <c r="F161" s="5"/>
      <c r="G161" s="49" t="s">
        <v>174</v>
      </c>
      <c r="H161" s="27" t="str">
        <f aca="false">IFERROR(VLOOKUP(G161,CATEGORÍAS!$A$4:$C$100,2,FALSE()),"Por revisar")</f>
        <v>Gasto</v>
      </c>
      <c r="I161" s="27" t="str">
        <f aca="false">IFERROR(VLOOKUP(G161,CATEGORÍAS!$A$4:$C$100,3,FALSE()),"")</f>
        <v>Ocio</v>
      </c>
      <c r="J161" s="49"/>
      <c r="K161" s="50" t="s">
        <v>324</v>
      </c>
    </row>
    <row r="162" customFormat="false" ht="15" hidden="false" customHeight="false" outlineLevel="0" collapsed="false">
      <c r="A162" s="46" t="n">
        <v>46150</v>
      </c>
      <c r="B162" s="47" t="n">
        <f aca="false">DATE(YEAR(A162),MONTH(A162),1)</f>
        <v>46143</v>
      </c>
      <c r="C162" s="5" t="s">
        <v>91</v>
      </c>
      <c r="D162" s="5" t="s">
        <v>156</v>
      </c>
      <c r="E162" s="48" t="n">
        <v>-47.6</v>
      </c>
      <c r="F162" s="48" t="n">
        <v>4758.17</v>
      </c>
      <c r="G162" s="49" t="s">
        <v>157</v>
      </c>
      <c r="H162" s="27" t="str">
        <f aca="false">IFERROR(VLOOKUP(G162,CATEGORÍAS!$A$4:$C$100,2,FALSE()),"Por revisar")</f>
        <v>Gasto</v>
      </c>
      <c r="I162" s="27" t="str">
        <f aca="false">IFERROR(VLOOKUP(G162,CATEGORÍAS!$A$4:$C$100,3,FALSE()),"")</f>
        <v>Casa</v>
      </c>
      <c r="J162" s="49"/>
      <c r="K162" s="50" t="s">
        <v>325</v>
      </c>
    </row>
    <row r="163" customFormat="false" ht="15" hidden="false" customHeight="false" outlineLevel="0" collapsed="false">
      <c r="A163" s="46" t="n">
        <v>46148</v>
      </c>
      <c r="B163" s="47" t="n">
        <f aca="false">DATE(YEAR(A163),MONTH(A163),1)</f>
        <v>46143</v>
      </c>
      <c r="C163" s="5" t="s">
        <v>91</v>
      </c>
      <c r="D163" s="5" t="s">
        <v>164</v>
      </c>
      <c r="E163" s="48" t="n">
        <v>-14.95</v>
      </c>
      <c r="F163" s="48" t="n">
        <v>4805.77</v>
      </c>
      <c r="G163" s="49" t="s">
        <v>165</v>
      </c>
      <c r="H163" s="27" t="str">
        <f aca="false">IFERROR(VLOOKUP(G163,CATEGORÍAS!$A$4:$C$100,2,FALSE()),"Por revisar")</f>
        <v>Gasto</v>
      </c>
      <c r="I163" s="27" t="str">
        <f aca="false">IFERROR(VLOOKUP(G163,CATEGORÍAS!$A$4:$C$100,3,FALSE()),"")</f>
        <v>Personal</v>
      </c>
      <c r="J163" s="49"/>
      <c r="K163" s="50" t="s">
        <v>326</v>
      </c>
    </row>
    <row r="164" customFormat="false" ht="15" hidden="false" customHeight="false" outlineLevel="0" collapsed="false">
      <c r="A164" s="46" t="n">
        <v>46147</v>
      </c>
      <c r="B164" s="47" t="n">
        <f aca="false">DATE(YEAR(A164),MONTH(A164),1)</f>
        <v>46143</v>
      </c>
      <c r="C164" s="5" t="s">
        <v>120</v>
      </c>
      <c r="D164" s="5" t="s">
        <v>144</v>
      </c>
      <c r="E164" s="48" t="n">
        <v>-26.52</v>
      </c>
      <c r="F164" s="5"/>
      <c r="G164" s="49" t="s">
        <v>122</v>
      </c>
      <c r="H164" s="27" t="str">
        <f aca="false">IFERROR(VLOOKUP(G164,CATEGORÍAS!$A$4:$C$100,2,FALSE()),"Por revisar")</f>
        <v>Gasto</v>
      </c>
      <c r="I164" s="27" t="str">
        <f aca="false">IFERROR(VLOOKUP(G164,CATEGORÍAS!$A$4:$C$100,3,FALSE()),"")</f>
        <v>Comida</v>
      </c>
      <c r="J164" s="49"/>
      <c r="K164" s="50" t="s">
        <v>327</v>
      </c>
    </row>
    <row r="165" customFormat="false" ht="15" hidden="false" customHeight="false" outlineLevel="0" collapsed="false">
      <c r="A165" s="46" t="n">
        <v>46147</v>
      </c>
      <c r="B165" s="47" t="n">
        <f aca="false">DATE(YEAR(A165),MONTH(A165),1)</f>
        <v>46143</v>
      </c>
      <c r="C165" s="5" t="s">
        <v>91</v>
      </c>
      <c r="D165" s="5" t="s">
        <v>167</v>
      </c>
      <c r="E165" s="48" t="n">
        <v>-39.9</v>
      </c>
      <c r="F165" s="48" t="n">
        <v>4820.72</v>
      </c>
      <c r="G165" s="49" t="s">
        <v>168</v>
      </c>
      <c r="H165" s="27" t="str">
        <f aca="false">IFERROR(VLOOKUP(G165,CATEGORÍAS!$A$4:$C$100,2,FALSE()),"Por revisar")</f>
        <v>Gasto</v>
      </c>
      <c r="I165" s="27" t="str">
        <f aca="false">IFERROR(VLOOKUP(G165,CATEGORÍAS!$A$4:$C$100,3,FALSE()),"")</f>
        <v>Casa</v>
      </c>
      <c r="J165" s="49"/>
      <c r="K165" s="50" t="s">
        <v>328</v>
      </c>
    </row>
    <row r="166" customFormat="false" ht="15" hidden="false" customHeight="false" outlineLevel="0" collapsed="false">
      <c r="A166" s="46" t="n">
        <v>46147</v>
      </c>
      <c r="B166" s="47" t="n">
        <f aca="false">DATE(YEAR(A166),MONTH(A166),1)</f>
        <v>46143</v>
      </c>
      <c r="C166" s="5" t="s">
        <v>92</v>
      </c>
      <c r="D166" s="5" t="s">
        <v>170</v>
      </c>
      <c r="E166" s="48" t="n">
        <v>-428.97</v>
      </c>
      <c r="F166" s="48" t="n">
        <v>1287.25</v>
      </c>
      <c r="G166" s="49" t="s">
        <v>171</v>
      </c>
      <c r="H166" s="27" t="str">
        <f aca="false">IFERROR(VLOOKUP(G166,CATEGORÍAS!$A$4:$C$100,2,FALSE()),"Por revisar")</f>
        <v>Traspaso</v>
      </c>
      <c r="I166" s="27" t="str">
        <f aca="false">IFERROR(VLOOKUP(G166,CATEGORÍAS!$A$4:$C$100,3,FALSE()),"")</f>
        <v>Traspasos</v>
      </c>
      <c r="J166" s="49"/>
      <c r="K166" s="50" t="s">
        <v>329</v>
      </c>
    </row>
    <row r="167" customFormat="false" ht="15" hidden="false" customHeight="false" outlineLevel="0" collapsed="false">
      <c r="A167" s="46" t="n">
        <v>46146</v>
      </c>
      <c r="B167" s="47" t="n">
        <f aca="false">DATE(YEAR(A167),MONTH(A167),1)</f>
        <v>46143</v>
      </c>
      <c r="C167" s="5" t="s">
        <v>120</v>
      </c>
      <c r="D167" s="5" t="s">
        <v>124</v>
      </c>
      <c r="E167" s="48" t="n">
        <v>-6.11</v>
      </c>
      <c r="F167" s="5"/>
      <c r="G167" s="49" t="s">
        <v>125</v>
      </c>
      <c r="H167" s="27" t="str">
        <f aca="false">IFERROR(VLOOKUP(G167,CATEGORÍAS!$A$4:$C$100,2,FALSE()),"Por revisar")</f>
        <v>Gasto</v>
      </c>
      <c r="I167" s="27" t="str">
        <f aca="false">IFERROR(VLOOKUP(G167,CATEGORÍAS!$A$4:$C$100,3,FALSE()),"")</f>
        <v>Comida</v>
      </c>
      <c r="J167" s="49"/>
      <c r="K167" s="50" t="s">
        <v>330</v>
      </c>
    </row>
    <row r="168" customFormat="false" ht="15" hidden="false" customHeight="false" outlineLevel="0" collapsed="false">
      <c r="A168" s="46" t="n">
        <v>46145</v>
      </c>
      <c r="B168" s="47" t="n">
        <f aca="false">DATE(YEAR(A168),MONTH(A168),1)</f>
        <v>46143</v>
      </c>
      <c r="C168" s="5" t="s">
        <v>120</v>
      </c>
      <c r="D168" s="5" t="s">
        <v>124</v>
      </c>
      <c r="E168" s="48" t="n">
        <v>-4.98</v>
      </c>
      <c r="F168" s="5"/>
      <c r="G168" s="49" t="s">
        <v>125</v>
      </c>
      <c r="H168" s="27" t="str">
        <f aca="false">IFERROR(VLOOKUP(G168,CATEGORÍAS!$A$4:$C$100,2,FALSE()),"Por revisar")</f>
        <v>Gasto</v>
      </c>
      <c r="I168" s="27" t="str">
        <f aca="false">IFERROR(VLOOKUP(G168,CATEGORÍAS!$A$4:$C$100,3,FALSE()),"")</f>
        <v>Comida</v>
      </c>
      <c r="J168" s="49"/>
      <c r="K168" s="50" t="s">
        <v>331</v>
      </c>
    </row>
    <row r="169" customFormat="false" ht="15" hidden="false" customHeight="false" outlineLevel="0" collapsed="false">
      <c r="A169" s="46" t="n">
        <v>46145</v>
      </c>
      <c r="B169" s="47" t="n">
        <f aca="false">DATE(YEAR(A169),MONTH(A169),1)</f>
        <v>46143</v>
      </c>
      <c r="C169" s="5" t="s">
        <v>91</v>
      </c>
      <c r="D169" s="5" t="s">
        <v>177</v>
      </c>
      <c r="E169" s="48" t="n">
        <v>-150</v>
      </c>
      <c r="F169" s="48" t="n">
        <v>4860.62</v>
      </c>
      <c r="G169" s="49" t="s">
        <v>178</v>
      </c>
      <c r="H169" s="27" t="str">
        <f aca="false">IFERROR(VLOOKUP(G169,CATEGORÍAS!$A$4:$C$100,2,FALSE()),"Por revisar")</f>
        <v>Gasto</v>
      </c>
      <c r="I169" s="27" t="str">
        <f aca="false">IFERROR(VLOOKUP(G169,CATEGORÍAS!$A$4:$C$100,3,FALSE()),"")</f>
        <v>Viajes</v>
      </c>
      <c r="J169" s="49"/>
      <c r="K169" s="50" t="s">
        <v>332</v>
      </c>
    </row>
    <row r="170" customFormat="false" ht="15" hidden="false" customHeight="false" outlineLevel="0" collapsed="false">
      <c r="A170" s="46" t="n">
        <v>46144</v>
      </c>
      <c r="B170" s="47" t="n">
        <f aca="false">DATE(YEAR(A170),MONTH(A170),1)</f>
        <v>46143</v>
      </c>
      <c r="C170" s="5" t="s">
        <v>91</v>
      </c>
      <c r="D170" s="5" t="s">
        <v>180</v>
      </c>
      <c r="E170" s="48" t="n">
        <v>-300</v>
      </c>
      <c r="F170" s="48" t="n">
        <v>5490.62</v>
      </c>
      <c r="G170" s="49" t="s">
        <v>181</v>
      </c>
      <c r="H170" s="27" t="str">
        <f aca="false">IFERROR(VLOOKUP(G170,CATEGORÍAS!$A$4:$C$100,2,FALSE()),"Por revisar")</f>
        <v>Traspaso</v>
      </c>
      <c r="I170" s="27" t="str">
        <f aca="false">IFERROR(VLOOKUP(G170,CATEGORÍAS!$A$4:$C$100,3,FALSE()),"")</f>
        <v>Traspasos</v>
      </c>
      <c r="J170" s="49"/>
      <c r="K170" s="50" t="s">
        <v>333</v>
      </c>
    </row>
    <row r="171" customFormat="false" ht="15" hidden="false" customHeight="false" outlineLevel="0" collapsed="false">
      <c r="A171" s="46" t="n">
        <v>46144</v>
      </c>
      <c r="B171" s="47" t="n">
        <f aca="false">DATE(YEAR(A171),MONTH(A171),1)</f>
        <v>46143</v>
      </c>
      <c r="C171" s="5" t="s">
        <v>91</v>
      </c>
      <c r="D171" s="5" t="s">
        <v>183</v>
      </c>
      <c r="E171" s="48" t="n">
        <v>-480</v>
      </c>
      <c r="F171" s="48" t="n">
        <v>5010.62</v>
      </c>
      <c r="G171" s="49" t="s">
        <v>181</v>
      </c>
      <c r="H171" s="27" t="str">
        <f aca="false">IFERROR(VLOOKUP(G171,CATEGORÍAS!$A$4:$C$100,2,FALSE()),"Por revisar")</f>
        <v>Traspaso</v>
      </c>
      <c r="I171" s="27" t="str">
        <f aca="false">IFERROR(VLOOKUP(G171,CATEGORÍAS!$A$4:$C$100,3,FALSE()),"")</f>
        <v>Traspasos</v>
      </c>
      <c r="J171" s="49"/>
      <c r="K171" s="50" t="s">
        <v>334</v>
      </c>
    </row>
    <row r="172" customFormat="false" ht="15" hidden="false" customHeight="false" outlineLevel="0" collapsed="false">
      <c r="A172" s="46" t="n">
        <v>46144</v>
      </c>
      <c r="B172" s="47" t="n">
        <f aca="false">DATE(YEAR(A172),MONTH(A172),1)</f>
        <v>46143</v>
      </c>
      <c r="C172" s="5" t="s">
        <v>93</v>
      </c>
      <c r="D172" s="5" t="s">
        <v>185</v>
      </c>
      <c r="E172" s="48" t="n">
        <v>300</v>
      </c>
      <c r="F172" s="48" t="n">
        <v>54633.19</v>
      </c>
      <c r="G172" s="49" t="s">
        <v>181</v>
      </c>
      <c r="H172" s="27" t="str">
        <f aca="false">IFERROR(VLOOKUP(G172,CATEGORÍAS!$A$4:$C$100,2,FALSE()),"Por revisar")</f>
        <v>Traspaso</v>
      </c>
      <c r="I172" s="27" t="str">
        <f aca="false">IFERROR(VLOOKUP(G172,CATEGORÍAS!$A$4:$C$100,3,FALSE()),"")</f>
        <v>Traspasos</v>
      </c>
      <c r="J172" s="49"/>
      <c r="K172" s="50" t="s">
        <v>335</v>
      </c>
    </row>
    <row r="173" customFormat="false" ht="15" hidden="false" customHeight="false" outlineLevel="0" collapsed="false">
      <c r="A173" s="46" t="n">
        <v>46144</v>
      </c>
      <c r="B173" s="47" t="n">
        <f aca="false">DATE(YEAR(A173),MONTH(A173),1)</f>
        <v>46143</v>
      </c>
      <c r="C173" s="5" t="s">
        <v>92</v>
      </c>
      <c r="D173" s="5" t="s">
        <v>185</v>
      </c>
      <c r="E173" s="48" t="n">
        <v>480</v>
      </c>
      <c r="F173" s="48" t="n">
        <v>1716.22</v>
      </c>
      <c r="G173" s="49" t="s">
        <v>181</v>
      </c>
      <c r="H173" s="27" t="str">
        <f aca="false">IFERROR(VLOOKUP(G173,CATEGORÍAS!$A$4:$C$100,2,FALSE()),"Por revisar")</f>
        <v>Traspaso</v>
      </c>
      <c r="I173" s="27" t="str">
        <f aca="false">IFERROR(VLOOKUP(G173,CATEGORÍAS!$A$4:$C$100,3,FALSE()),"")</f>
        <v>Traspasos</v>
      </c>
      <c r="J173" s="49"/>
      <c r="K173" s="50" t="s">
        <v>336</v>
      </c>
    </row>
    <row r="174" customFormat="false" ht="15" hidden="false" customHeight="false" outlineLevel="0" collapsed="false">
      <c r="A174" s="46" t="n">
        <v>46143</v>
      </c>
      <c r="B174" s="47" t="n">
        <f aca="false">DATE(YEAR(A174),MONTH(A174),1)</f>
        <v>46143</v>
      </c>
      <c r="C174" s="5" t="s">
        <v>120</v>
      </c>
      <c r="D174" s="5" t="s">
        <v>144</v>
      </c>
      <c r="E174" s="48" t="n">
        <v>-61.78</v>
      </c>
      <c r="F174" s="5"/>
      <c r="G174" s="49" t="s">
        <v>122</v>
      </c>
      <c r="H174" s="27" t="str">
        <f aca="false">IFERROR(VLOOKUP(G174,CATEGORÍAS!$A$4:$C$100,2,FALSE()),"Por revisar")</f>
        <v>Gasto</v>
      </c>
      <c r="I174" s="27" t="str">
        <f aca="false">IFERROR(VLOOKUP(G174,CATEGORÍAS!$A$4:$C$100,3,FALSE()),"")</f>
        <v>Comida</v>
      </c>
      <c r="J174" s="49"/>
      <c r="K174" s="50" t="s">
        <v>337</v>
      </c>
    </row>
    <row r="175" customFormat="false" ht="15" hidden="false" customHeight="false" outlineLevel="0" collapsed="false">
      <c r="A175" s="46" t="n">
        <v>46143</v>
      </c>
      <c r="B175" s="47" t="n">
        <f aca="false">DATE(YEAR(A175),MONTH(A175),1)</f>
        <v>46143</v>
      </c>
      <c r="C175" s="5" t="s">
        <v>91</v>
      </c>
      <c r="D175" s="5" t="s">
        <v>338</v>
      </c>
      <c r="E175" s="48" t="n">
        <v>-850</v>
      </c>
      <c r="F175" s="48" t="n">
        <v>5790.62</v>
      </c>
      <c r="G175" s="49" t="s">
        <v>189</v>
      </c>
      <c r="H175" s="27" t="str">
        <f aca="false">IFERROR(VLOOKUP(G175,CATEGORÍAS!$A$4:$C$100,2,FALSE()),"Por revisar")</f>
        <v>Gasto</v>
      </c>
      <c r="I175" s="27" t="str">
        <f aca="false">IFERROR(VLOOKUP(G175,CATEGORÍAS!$A$4:$C$100,3,FALSE()),"")</f>
        <v>Casa</v>
      </c>
      <c r="J175" s="49"/>
      <c r="K175" s="50" t="s">
        <v>339</v>
      </c>
    </row>
    <row r="176" customFormat="false" ht="15" hidden="false" customHeight="false" outlineLevel="0" collapsed="false">
      <c r="A176" s="46" t="n">
        <v>46142</v>
      </c>
      <c r="B176" s="47" t="n">
        <f aca="false">DATE(YEAR(A176),MONTH(A176),1)</f>
        <v>46113</v>
      </c>
      <c r="C176" s="5" t="s">
        <v>93</v>
      </c>
      <c r="D176" s="5" t="s">
        <v>114</v>
      </c>
      <c r="E176" s="48" t="n">
        <v>33.94</v>
      </c>
      <c r="F176" s="48" t="n">
        <v>54333.19</v>
      </c>
      <c r="G176" s="49" t="s">
        <v>115</v>
      </c>
      <c r="H176" s="27" t="str">
        <f aca="false">IFERROR(VLOOKUP(G176,CATEGORÍAS!$A$4:$C$100,2,FALSE()),"Por revisar")</f>
        <v>Ingreso</v>
      </c>
      <c r="I176" s="27" t="str">
        <f aca="false">IFERROR(VLOOKUP(G176,CATEGORÍAS!$A$4:$C$100,3,FALSE()),"")</f>
        <v>Ahorro</v>
      </c>
      <c r="J176" s="49"/>
      <c r="K176" s="50" t="s">
        <v>340</v>
      </c>
    </row>
    <row r="177" customFormat="false" ht="15" hidden="false" customHeight="false" outlineLevel="0" collapsed="false">
      <c r="A177" s="46" t="n">
        <v>46140</v>
      </c>
      <c r="B177" s="47" t="n">
        <f aca="false">DATE(YEAR(A177),MONTH(A177),1)</f>
        <v>46113</v>
      </c>
      <c r="C177" s="5" t="s">
        <v>91</v>
      </c>
      <c r="D177" s="5" t="s">
        <v>117</v>
      </c>
      <c r="E177" s="48" t="n">
        <v>2150</v>
      </c>
      <c r="F177" s="48" t="n">
        <v>6640.62</v>
      </c>
      <c r="G177" s="49" t="s">
        <v>118</v>
      </c>
      <c r="H177" s="27" t="str">
        <f aca="false">IFERROR(VLOOKUP(G177,CATEGORÍAS!$A$4:$C$100,2,FALSE()),"Por revisar")</f>
        <v>Ingreso</v>
      </c>
      <c r="I177" s="27" t="str">
        <f aca="false">IFERROR(VLOOKUP(G177,CATEGORÍAS!$A$4:$C$100,3,FALSE()),"")</f>
        <v>Trabajo</v>
      </c>
      <c r="J177" s="49"/>
      <c r="K177" s="50" t="s">
        <v>341</v>
      </c>
    </row>
    <row r="178" customFormat="false" ht="15" hidden="false" customHeight="false" outlineLevel="0" collapsed="false">
      <c r="A178" s="46" t="n">
        <v>46139</v>
      </c>
      <c r="B178" s="47" t="n">
        <f aca="false">DATE(YEAR(A178),MONTH(A178),1)</f>
        <v>46113</v>
      </c>
      <c r="C178" s="5" t="s">
        <v>120</v>
      </c>
      <c r="D178" s="5" t="s">
        <v>144</v>
      </c>
      <c r="E178" s="48" t="n">
        <v>-32.34</v>
      </c>
      <c r="F178" s="5"/>
      <c r="G178" s="49" t="s">
        <v>122</v>
      </c>
      <c r="H178" s="27" t="str">
        <f aca="false">IFERROR(VLOOKUP(G178,CATEGORÍAS!$A$4:$C$100,2,FALSE()),"Por revisar")</f>
        <v>Gasto</v>
      </c>
      <c r="I178" s="27" t="str">
        <f aca="false">IFERROR(VLOOKUP(G178,CATEGORÍAS!$A$4:$C$100,3,FALSE()),"")</f>
        <v>Comida</v>
      </c>
      <c r="J178" s="49"/>
      <c r="K178" s="50" t="s">
        <v>342</v>
      </c>
    </row>
    <row r="179" customFormat="false" ht="15" hidden="false" customHeight="false" outlineLevel="0" collapsed="false">
      <c r="A179" s="46" t="n">
        <v>46139</v>
      </c>
      <c r="B179" s="47" t="n">
        <f aca="false">DATE(YEAR(A179),MONTH(A179),1)</f>
        <v>46113</v>
      </c>
      <c r="C179" s="5" t="s">
        <v>120</v>
      </c>
      <c r="D179" s="5" t="s">
        <v>121</v>
      </c>
      <c r="E179" s="48" t="n">
        <v>-21.38</v>
      </c>
      <c r="F179" s="5"/>
      <c r="G179" s="49" t="s">
        <v>122</v>
      </c>
      <c r="H179" s="27" t="str">
        <f aca="false">IFERROR(VLOOKUP(G179,CATEGORÍAS!$A$4:$C$100,2,FALSE()),"Por revisar")</f>
        <v>Gasto</v>
      </c>
      <c r="I179" s="27" t="str">
        <f aca="false">IFERROR(VLOOKUP(G179,CATEGORÍAS!$A$4:$C$100,3,FALSE()),"")</f>
        <v>Comida</v>
      </c>
      <c r="J179" s="49"/>
      <c r="K179" s="50" t="s">
        <v>343</v>
      </c>
    </row>
    <row r="180" customFormat="false" ht="15" hidden="false" customHeight="false" outlineLevel="0" collapsed="false">
      <c r="A180" s="46" t="n">
        <v>46136</v>
      </c>
      <c r="B180" s="47" t="n">
        <f aca="false">DATE(YEAR(A180),MONTH(A180),1)</f>
        <v>46113</v>
      </c>
      <c r="C180" s="5" t="s">
        <v>91</v>
      </c>
      <c r="D180" s="5" t="s">
        <v>200</v>
      </c>
      <c r="E180" s="48" t="n">
        <v>-29</v>
      </c>
      <c r="F180" s="48" t="n">
        <v>4490.62</v>
      </c>
      <c r="G180" s="49" t="s">
        <v>201</v>
      </c>
      <c r="H180" s="27" t="str">
        <f aca="false">IFERROR(VLOOKUP(G180,CATEGORÍAS!$A$4:$C$100,2,FALSE()),"Por revisar")</f>
        <v>Gasto</v>
      </c>
      <c r="I180" s="27" t="str">
        <f aca="false">IFERROR(VLOOKUP(G180,CATEGORÍAS!$A$4:$C$100,3,FALSE()),"")</f>
        <v>Comida</v>
      </c>
      <c r="J180" s="49"/>
      <c r="K180" s="50" t="s">
        <v>344</v>
      </c>
    </row>
    <row r="181" customFormat="false" ht="15" hidden="false" customHeight="false" outlineLevel="0" collapsed="false">
      <c r="A181" s="46" t="n">
        <v>46135</v>
      </c>
      <c r="B181" s="47" t="n">
        <f aca="false">DATE(YEAR(A181),MONTH(A181),1)</f>
        <v>46113</v>
      </c>
      <c r="C181" s="5" t="s">
        <v>120</v>
      </c>
      <c r="D181" s="5" t="s">
        <v>124</v>
      </c>
      <c r="E181" s="48" t="n">
        <v>-6.29</v>
      </c>
      <c r="F181" s="5"/>
      <c r="G181" s="49" t="s">
        <v>125</v>
      </c>
      <c r="H181" s="27" t="str">
        <f aca="false">IFERROR(VLOOKUP(G181,CATEGORÍAS!$A$4:$C$100,2,FALSE()),"Por revisar")</f>
        <v>Gasto</v>
      </c>
      <c r="I181" s="27" t="str">
        <f aca="false">IFERROR(VLOOKUP(G181,CATEGORÍAS!$A$4:$C$100,3,FALSE()),"")</f>
        <v>Comida</v>
      </c>
      <c r="J181" s="49"/>
      <c r="K181" s="50" t="s">
        <v>345</v>
      </c>
    </row>
    <row r="182" customFormat="false" ht="15" hidden="false" customHeight="false" outlineLevel="0" collapsed="false">
      <c r="A182" s="46" t="n">
        <v>46133</v>
      </c>
      <c r="B182" s="47" t="n">
        <f aca="false">DATE(YEAR(A182),MONTH(A182),1)</f>
        <v>46113</v>
      </c>
      <c r="C182" s="5" t="s">
        <v>120</v>
      </c>
      <c r="D182" s="5" t="s">
        <v>127</v>
      </c>
      <c r="E182" s="48" t="n">
        <v>-45.82</v>
      </c>
      <c r="F182" s="5"/>
      <c r="G182" s="49" t="s">
        <v>125</v>
      </c>
      <c r="H182" s="27" t="str">
        <f aca="false">IFERROR(VLOOKUP(G182,CATEGORÍAS!$A$4:$C$100,2,FALSE()),"Por revisar")</f>
        <v>Gasto</v>
      </c>
      <c r="I182" s="27" t="str">
        <f aca="false">IFERROR(VLOOKUP(G182,CATEGORÍAS!$A$4:$C$100,3,FALSE()),"")</f>
        <v>Comida</v>
      </c>
      <c r="J182" s="49"/>
      <c r="K182" s="50" t="s">
        <v>346</v>
      </c>
    </row>
    <row r="183" customFormat="false" ht="15" hidden="false" customHeight="false" outlineLevel="0" collapsed="false">
      <c r="A183" s="46" t="n">
        <v>46131</v>
      </c>
      <c r="B183" s="47" t="n">
        <f aca="false">DATE(YEAR(A183),MONTH(A183),1)</f>
        <v>46113</v>
      </c>
      <c r="C183" s="5" t="s">
        <v>120</v>
      </c>
      <c r="D183" s="5" t="s">
        <v>159</v>
      </c>
      <c r="E183" s="48" t="n">
        <v>-20.57</v>
      </c>
      <c r="F183" s="5"/>
      <c r="G183" s="49" t="s">
        <v>160</v>
      </c>
      <c r="H183" s="27" t="str">
        <f aca="false">IFERROR(VLOOKUP(G183,CATEGORÍAS!$A$4:$C$100,2,FALSE()),"Por revisar")</f>
        <v>Gasto</v>
      </c>
      <c r="I183" s="27" t="str">
        <f aca="false">IFERROR(VLOOKUP(G183,CATEGORÍAS!$A$4:$C$100,3,FALSE()),"")</f>
        <v>Salud</v>
      </c>
      <c r="J183" s="49"/>
      <c r="K183" s="50" t="s">
        <v>347</v>
      </c>
    </row>
    <row r="184" customFormat="false" ht="15" hidden="false" customHeight="false" outlineLevel="0" collapsed="false">
      <c r="A184" s="46" t="n">
        <v>46131</v>
      </c>
      <c r="B184" s="47" t="n">
        <f aca="false">DATE(YEAR(A184),MONTH(A184),1)</f>
        <v>46113</v>
      </c>
      <c r="C184" s="5" t="s">
        <v>120</v>
      </c>
      <c r="D184" s="5" t="s">
        <v>144</v>
      </c>
      <c r="E184" s="48" t="n">
        <v>-34.23</v>
      </c>
      <c r="F184" s="5"/>
      <c r="G184" s="49" t="s">
        <v>122</v>
      </c>
      <c r="H184" s="27" t="str">
        <f aca="false">IFERROR(VLOOKUP(G184,CATEGORÍAS!$A$4:$C$100,2,FALSE()),"Por revisar")</f>
        <v>Gasto</v>
      </c>
      <c r="I184" s="27" t="str">
        <f aca="false">IFERROR(VLOOKUP(G184,CATEGORÍAS!$A$4:$C$100,3,FALSE()),"")</f>
        <v>Comida</v>
      </c>
      <c r="J184" s="49"/>
      <c r="K184" s="50" t="s">
        <v>348</v>
      </c>
    </row>
    <row r="185" customFormat="false" ht="15" hidden="false" customHeight="false" outlineLevel="0" collapsed="false">
      <c r="A185" s="46" t="n">
        <v>46130</v>
      </c>
      <c r="B185" s="47" t="n">
        <f aca="false">DATE(YEAR(A185),MONTH(A185),1)</f>
        <v>46113</v>
      </c>
      <c r="C185" s="5" t="s">
        <v>120</v>
      </c>
      <c r="D185" s="5" t="s">
        <v>144</v>
      </c>
      <c r="E185" s="48" t="n">
        <v>-60.19</v>
      </c>
      <c r="F185" s="5"/>
      <c r="G185" s="49" t="s">
        <v>122</v>
      </c>
      <c r="H185" s="27" t="str">
        <f aca="false">IFERROR(VLOOKUP(G185,CATEGORÍAS!$A$4:$C$100,2,FALSE()),"Por revisar")</f>
        <v>Gasto</v>
      </c>
      <c r="I185" s="27" t="str">
        <f aca="false">IFERROR(VLOOKUP(G185,CATEGORÍAS!$A$4:$C$100,3,FALSE()),"")</f>
        <v>Comida</v>
      </c>
      <c r="J185" s="49"/>
      <c r="K185" s="50" t="s">
        <v>349</v>
      </c>
    </row>
    <row r="186" customFormat="false" ht="15" hidden="false" customHeight="false" outlineLevel="0" collapsed="false">
      <c r="A186" s="46" t="n">
        <v>46130</v>
      </c>
      <c r="B186" s="47" t="n">
        <f aca="false">DATE(YEAR(A186),MONTH(A186),1)</f>
        <v>46113</v>
      </c>
      <c r="C186" s="5" t="s">
        <v>120</v>
      </c>
      <c r="D186" s="5" t="s">
        <v>146</v>
      </c>
      <c r="E186" s="48" t="n">
        <v>-40.23</v>
      </c>
      <c r="F186" s="5"/>
      <c r="G186" s="49" t="s">
        <v>130</v>
      </c>
      <c r="H186" s="27" t="str">
        <f aca="false">IFERROR(VLOOKUP(G186,CATEGORÍAS!$A$4:$C$100,2,FALSE()),"Por revisar")</f>
        <v>Gasto</v>
      </c>
      <c r="I186" s="27" t="str">
        <f aca="false">IFERROR(VLOOKUP(G186,CATEGORÍAS!$A$4:$C$100,3,FALSE()),"")</f>
        <v>Transporte</v>
      </c>
      <c r="J186" s="49"/>
      <c r="K186" s="50" t="s">
        <v>350</v>
      </c>
    </row>
    <row r="187" customFormat="false" ht="15" hidden="false" customHeight="false" outlineLevel="0" collapsed="false">
      <c r="A187" s="46" t="n">
        <v>46126</v>
      </c>
      <c r="B187" s="47" t="n">
        <f aca="false">DATE(YEAR(A187),MONTH(A187),1)</f>
        <v>46113</v>
      </c>
      <c r="C187" s="5" t="s">
        <v>120</v>
      </c>
      <c r="D187" s="5" t="s">
        <v>124</v>
      </c>
      <c r="E187" s="48" t="n">
        <v>-7.67</v>
      </c>
      <c r="F187" s="5"/>
      <c r="G187" s="49" t="s">
        <v>125</v>
      </c>
      <c r="H187" s="27" t="str">
        <f aca="false">IFERROR(VLOOKUP(G187,CATEGORÍAS!$A$4:$C$100,2,FALSE()),"Por revisar")</f>
        <v>Gasto</v>
      </c>
      <c r="I187" s="27" t="str">
        <f aca="false">IFERROR(VLOOKUP(G187,CATEGORÍAS!$A$4:$C$100,3,FALSE()),"")</f>
        <v>Comida</v>
      </c>
      <c r="J187" s="49"/>
      <c r="K187" s="50" t="s">
        <v>351</v>
      </c>
    </row>
    <row r="188" customFormat="false" ht="15" hidden="false" customHeight="false" outlineLevel="0" collapsed="false">
      <c r="A188" s="46" t="n">
        <v>46126</v>
      </c>
      <c r="B188" s="47" t="n">
        <f aca="false">DATE(YEAR(A188),MONTH(A188),1)</f>
        <v>46113</v>
      </c>
      <c r="C188" s="5" t="s">
        <v>120</v>
      </c>
      <c r="D188" s="5" t="s">
        <v>121</v>
      </c>
      <c r="E188" s="48" t="n">
        <v>-10.15</v>
      </c>
      <c r="F188" s="5"/>
      <c r="G188" s="49" t="s">
        <v>122</v>
      </c>
      <c r="H188" s="27" t="str">
        <f aca="false">IFERROR(VLOOKUP(G188,CATEGORÍAS!$A$4:$C$100,2,FALSE()),"Por revisar")</f>
        <v>Gasto</v>
      </c>
      <c r="I188" s="27" t="str">
        <f aca="false">IFERROR(VLOOKUP(G188,CATEGORÍAS!$A$4:$C$100,3,FALSE()),"")</f>
        <v>Comida</v>
      </c>
      <c r="J188" s="49"/>
      <c r="K188" s="50" t="s">
        <v>352</v>
      </c>
    </row>
    <row r="189" customFormat="false" ht="15" hidden="false" customHeight="false" outlineLevel="0" collapsed="false">
      <c r="A189" s="46" t="n">
        <v>46126</v>
      </c>
      <c r="B189" s="47" t="n">
        <f aca="false">DATE(YEAR(A189),MONTH(A189),1)</f>
        <v>46113</v>
      </c>
      <c r="C189" s="5" t="s">
        <v>91</v>
      </c>
      <c r="D189" s="5" t="s">
        <v>353</v>
      </c>
      <c r="E189" s="48" t="n">
        <v>-78.06</v>
      </c>
      <c r="F189" s="48" t="n">
        <v>4519.62</v>
      </c>
      <c r="G189" s="49" t="s">
        <v>354</v>
      </c>
      <c r="H189" s="27" t="str">
        <f aca="false">IFERROR(VLOOKUP(G189,CATEGORÍAS!$A$4:$C$100,2,FALSE()),"Por revisar")</f>
        <v>Gasto</v>
      </c>
      <c r="I189" s="27" t="str">
        <f aca="false">IFERROR(VLOOKUP(G189,CATEGORÍAS!$A$4:$C$100,3,FALSE()),"")</f>
        <v>Personal</v>
      </c>
      <c r="J189" s="49"/>
      <c r="K189" s="50" t="s">
        <v>355</v>
      </c>
    </row>
    <row r="190" customFormat="false" ht="15" hidden="false" customHeight="false" outlineLevel="0" collapsed="false">
      <c r="A190" s="46" t="n">
        <v>46125</v>
      </c>
      <c r="B190" s="47" t="n">
        <f aca="false">DATE(YEAR(A190),MONTH(A190),1)</f>
        <v>46113</v>
      </c>
      <c r="C190" s="5" t="s">
        <v>120</v>
      </c>
      <c r="D190" s="5" t="s">
        <v>127</v>
      </c>
      <c r="E190" s="48" t="n">
        <v>-35.7</v>
      </c>
      <c r="F190" s="5"/>
      <c r="G190" s="49" t="s">
        <v>125</v>
      </c>
      <c r="H190" s="27" t="str">
        <f aca="false">IFERROR(VLOOKUP(G190,CATEGORÍAS!$A$4:$C$100,2,FALSE()),"Por revisar")</f>
        <v>Gasto</v>
      </c>
      <c r="I190" s="27" t="str">
        <f aca="false">IFERROR(VLOOKUP(G190,CATEGORÍAS!$A$4:$C$100,3,FALSE()),"")</f>
        <v>Comida</v>
      </c>
      <c r="J190" s="49"/>
      <c r="K190" s="50" t="s">
        <v>356</v>
      </c>
    </row>
    <row r="191" customFormat="false" ht="15" hidden="false" customHeight="false" outlineLevel="0" collapsed="false">
      <c r="A191" s="46" t="n">
        <v>46124</v>
      </c>
      <c r="B191" s="47" t="n">
        <f aca="false">DATE(YEAR(A191),MONTH(A191),1)</f>
        <v>46113</v>
      </c>
      <c r="C191" s="5" t="s">
        <v>120</v>
      </c>
      <c r="D191" s="5" t="s">
        <v>144</v>
      </c>
      <c r="E191" s="48" t="n">
        <v>-36.67</v>
      </c>
      <c r="F191" s="5"/>
      <c r="G191" s="49" t="s">
        <v>122</v>
      </c>
      <c r="H191" s="27" t="str">
        <f aca="false">IFERROR(VLOOKUP(G191,CATEGORÍAS!$A$4:$C$100,2,FALSE()),"Por revisar")</f>
        <v>Gasto</v>
      </c>
      <c r="I191" s="27" t="str">
        <f aca="false">IFERROR(VLOOKUP(G191,CATEGORÍAS!$A$4:$C$100,3,FALSE()),"")</f>
        <v>Comida</v>
      </c>
      <c r="J191" s="49"/>
      <c r="K191" s="50" t="s">
        <v>357</v>
      </c>
    </row>
    <row r="192" customFormat="false" ht="15" hidden="false" customHeight="false" outlineLevel="0" collapsed="false">
      <c r="A192" s="46" t="n">
        <v>46124</v>
      </c>
      <c r="B192" s="47" t="n">
        <f aca="false">DATE(YEAR(A192),MONTH(A192),1)</f>
        <v>46113</v>
      </c>
      <c r="C192" s="5" t="s">
        <v>91</v>
      </c>
      <c r="D192" s="5" t="s">
        <v>209</v>
      </c>
      <c r="E192" s="48" t="n">
        <v>-34</v>
      </c>
      <c r="F192" s="48" t="n">
        <v>4597.68</v>
      </c>
      <c r="G192" s="49" t="s">
        <v>210</v>
      </c>
      <c r="H192" s="27" t="str">
        <f aca="false">IFERROR(VLOOKUP(G192,CATEGORÍAS!$A$4:$C$100,2,FALSE()),"Por revisar")</f>
        <v>Gasto</v>
      </c>
      <c r="I192" s="27" t="str">
        <f aca="false">IFERROR(VLOOKUP(G192,CATEGORÍAS!$A$4:$C$100,3,FALSE()),"")</f>
        <v>Casa</v>
      </c>
      <c r="J192" s="49"/>
      <c r="K192" s="50" t="s">
        <v>358</v>
      </c>
    </row>
    <row r="193" customFormat="false" ht="15" hidden="false" customHeight="false" outlineLevel="0" collapsed="false">
      <c r="A193" s="46" t="n">
        <v>46123</v>
      </c>
      <c r="B193" s="47" t="n">
        <f aca="false">DATE(YEAR(A193),MONTH(A193),1)</f>
        <v>46113</v>
      </c>
      <c r="C193" s="5" t="s">
        <v>91</v>
      </c>
      <c r="D193" s="5" t="s">
        <v>132</v>
      </c>
      <c r="E193" s="48" t="n">
        <v>34</v>
      </c>
      <c r="F193" s="48" t="n">
        <v>4631.68</v>
      </c>
      <c r="G193" s="49" t="s">
        <v>201</v>
      </c>
      <c r="H193" s="27" t="str">
        <f aca="false">IFERROR(VLOOKUP(G193,CATEGORÍAS!$A$4:$C$100,2,FALSE()),"Por revisar")</f>
        <v>Gasto</v>
      </c>
      <c r="I193" s="27" t="str">
        <f aca="false">IFERROR(VLOOKUP(G193,CATEGORÍAS!$A$4:$C$100,3,FALSE()),"")</f>
        <v>Comida</v>
      </c>
      <c r="J193" s="49"/>
      <c r="K193" s="50" t="s">
        <v>359</v>
      </c>
    </row>
    <row r="194" customFormat="false" ht="15" hidden="false" customHeight="false" outlineLevel="0" collapsed="false">
      <c r="A194" s="46" t="n">
        <v>46122</v>
      </c>
      <c r="B194" s="47" t="n">
        <f aca="false">DATE(YEAR(A194),MONTH(A194),1)</f>
        <v>46113</v>
      </c>
      <c r="C194" s="5" t="s">
        <v>120</v>
      </c>
      <c r="D194" s="5" t="s">
        <v>135</v>
      </c>
      <c r="E194" s="48" t="n">
        <v>-26.17</v>
      </c>
      <c r="F194" s="5"/>
      <c r="G194" s="49" t="s">
        <v>136</v>
      </c>
      <c r="H194" s="27" t="str">
        <f aca="false">IFERROR(VLOOKUP(G194,CATEGORÍAS!$A$4:$C$100,2,FALSE()),"Por revisar")</f>
        <v>Gasto</v>
      </c>
      <c r="I194" s="27" t="str">
        <f aca="false">IFERROR(VLOOKUP(G194,CATEGORÍAS!$A$4:$C$100,3,FALSE()),"")</f>
        <v>Personal</v>
      </c>
      <c r="J194" s="49"/>
      <c r="K194" s="50" t="s">
        <v>360</v>
      </c>
    </row>
    <row r="195" customFormat="false" ht="15" hidden="false" customHeight="false" outlineLevel="0" collapsed="false">
      <c r="A195" s="46" t="n">
        <v>46121</v>
      </c>
      <c r="B195" s="47" t="n">
        <f aca="false">DATE(YEAR(A195),MONTH(A195),1)</f>
        <v>46113</v>
      </c>
      <c r="C195" s="5" t="s">
        <v>120</v>
      </c>
      <c r="D195" s="5" t="s">
        <v>124</v>
      </c>
      <c r="E195" s="48" t="n">
        <v>-3.4</v>
      </c>
      <c r="F195" s="5"/>
      <c r="G195" s="49" t="s">
        <v>125</v>
      </c>
      <c r="H195" s="27" t="str">
        <f aca="false">IFERROR(VLOOKUP(G195,CATEGORÍAS!$A$4:$C$100,2,FALSE()),"Por revisar")</f>
        <v>Gasto</v>
      </c>
      <c r="I195" s="27" t="str">
        <f aca="false">IFERROR(VLOOKUP(G195,CATEGORÍAS!$A$4:$C$100,3,FALSE()),"")</f>
        <v>Comida</v>
      </c>
      <c r="J195" s="49"/>
      <c r="K195" s="50" t="s">
        <v>361</v>
      </c>
    </row>
    <row r="196" customFormat="false" ht="15" hidden="false" customHeight="false" outlineLevel="0" collapsed="false">
      <c r="A196" s="46" t="n">
        <v>46121</v>
      </c>
      <c r="B196" s="47" t="n">
        <f aca="false">DATE(YEAR(A196),MONTH(A196),1)</f>
        <v>46113</v>
      </c>
      <c r="C196" s="5" t="s">
        <v>91</v>
      </c>
      <c r="D196" s="5" t="s">
        <v>153</v>
      </c>
      <c r="E196" s="48" t="n">
        <v>-12.99</v>
      </c>
      <c r="F196" s="48" t="n">
        <v>4597.68</v>
      </c>
      <c r="G196" s="49" t="s">
        <v>154</v>
      </c>
      <c r="H196" s="27" t="str">
        <f aca="false">IFERROR(VLOOKUP(G196,CATEGORÍAS!$A$4:$C$100,2,FALSE()),"Por revisar")</f>
        <v>Gasto</v>
      </c>
      <c r="I196" s="27" t="str">
        <f aca="false">IFERROR(VLOOKUP(G196,CATEGORÍAS!$A$4:$C$100,3,FALSE()),"")</f>
        <v>Personal</v>
      </c>
      <c r="J196" s="49"/>
      <c r="K196" s="50" t="s">
        <v>362</v>
      </c>
    </row>
    <row r="197" customFormat="false" ht="15" hidden="false" customHeight="false" outlineLevel="0" collapsed="false">
      <c r="A197" s="46" t="n">
        <v>46120</v>
      </c>
      <c r="B197" s="47" t="n">
        <f aca="false">DATE(YEAR(A197),MONTH(A197),1)</f>
        <v>46113</v>
      </c>
      <c r="C197" s="5" t="s">
        <v>91</v>
      </c>
      <c r="D197" s="5" t="s">
        <v>156</v>
      </c>
      <c r="E197" s="48" t="n">
        <v>-36.17</v>
      </c>
      <c r="F197" s="48" t="n">
        <v>4610.67</v>
      </c>
      <c r="G197" s="49" t="s">
        <v>157</v>
      </c>
      <c r="H197" s="27" t="str">
        <f aca="false">IFERROR(VLOOKUP(G197,CATEGORÍAS!$A$4:$C$100,2,FALSE()),"Por revisar")</f>
        <v>Gasto</v>
      </c>
      <c r="I197" s="27" t="str">
        <f aca="false">IFERROR(VLOOKUP(G197,CATEGORÍAS!$A$4:$C$100,3,FALSE()),"")</f>
        <v>Casa</v>
      </c>
      <c r="J197" s="49"/>
      <c r="K197" s="50" t="s">
        <v>363</v>
      </c>
    </row>
    <row r="198" customFormat="false" ht="15" hidden="false" customHeight="false" outlineLevel="0" collapsed="false">
      <c r="A198" s="46" t="n">
        <v>46118</v>
      </c>
      <c r="B198" s="47" t="n">
        <f aca="false">DATE(YEAR(A198),MONTH(A198),1)</f>
        <v>46113</v>
      </c>
      <c r="C198" s="5" t="s">
        <v>91</v>
      </c>
      <c r="D198" s="5" t="s">
        <v>164</v>
      </c>
      <c r="E198" s="48" t="n">
        <v>-14.95</v>
      </c>
      <c r="F198" s="48" t="n">
        <v>4646.84</v>
      </c>
      <c r="G198" s="49" t="s">
        <v>165</v>
      </c>
      <c r="H198" s="27" t="str">
        <f aca="false">IFERROR(VLOOKUP(G198,CATEGORÍAS!$A$4:$C$100,2,FALSE()),"Por revisar")</f>
        <v>Gasto</v>
      </c>
      <c r="I198" s="27" t="str">
        <f aca="false">IFERROR(VLOOKUP(G198,CATEGORÍAS!$A$4:$C$100,3,FALSE()),"")</f>
        <v>Personal</v>
      </c>
      <c r="J198" s="49"/>
      <c r="K198" s="50" t="s">
        <v>364</v>
      </c>
    </row>
    <row r="199" customFormat="false" ht="15" hidden="false" customHeight="false" outlineLevel="0" collapsed="false">
      <c r="A199" s="46" t="n">
        <v>46117</v>
      </c>
      <c r="B199" s="47" t="n">
        <f aca="false">DATE(YEAR(A199),MONTH(A199),1)</f>
        <v>46113</v>
      </c>
      <c r="C199" s="5" t="s">
        <v>120</v>
      </c>
      <c r="D199" s="5" t="s">
        <v>173</v>
      </c>
      <c r="E199" s="48" t="n">
        <v>-17.75</v>
      </c>
      <c r="F199" s="5"/>
      <c r="G199" s="49" t="s">
        <v>174</v>
      </c>
      <c r="H199" s="27" t="str">
        <f aca="false">IFERROR(VLOOKUP(G199,CATEGORÍAS!$A$4:$C$100,2,FALSE()),"Por revisar")</f>
        <v>Gasto</v>
      </c>
      <c r="I199" s="27" t="str">
        <f aca="false">IFERROR(VLOOKUP(G199,CATEGORÍAS!$A$4:$C$100,3,FALSE()),"")</f>
        <v>Ocio</v>
      </c>
      <c r="J199" s="49"/>
      <c r="K199" s="50" t="s">
        <v>365</v>
      </c>
    </row>
    <row r="200" customFormat="false" ht="15" hidden="false" customHeight="false" outlineLevel="0" collapsed="false">
      <c r="A200" s="46" t="n">
        <v>46117</v>
      </c>
      <c r="B200" s="47" t="n">
        <f aca="false">DATE(YEAR(A200),MONTH(A200),1)</f>
        <v>46113</v>
      </c>
      <c r="C200" s="5" t="s">
        <v>91</v>
      </c>
      <c r="D200" s="5" t="s">
        <v>167</v>
      </c>
      <c r="E200" s="48" t="n">
        <v>-39.9</v>
      </c>
      <c r="F200" s="48" t="n">
        <v>4661.79</v>
      </c>
      <c r="G200" s="49" t="s">
        <v>168</v>
      </c>
      <c r="H200" s="27" t="str">
        <f aca="false">IFERROR(VLOOKUP(G200,CATEGORÍAS!$A$4:$C$100,2,FALSE()),"Por revisar")</f>
        <v>Gasto</v>
      </c>
      <c r="I200" s="27" t="str">
        <f aca="false">IFERROR(VLOOKUP(G200,CATEGORÍAS!$A$4:$C$100,3,FALSE()),"")</f>
        <v>Casa</v>
      </c>
      <c r="J200" s="49"/>
      <c r="K200" s="50" t="s">
        <v>366</v>
      </c>
    </row>
    <row r="201" customFormat="false" ht="15" hidden="false" customHeight="false" outlineLevel="0" collapsed="false">
      <c r="A201" s="46" t="n">
        <v>46117</v>
      </c>
      <c r="B201" s="47" t="n">
        <f aca="false">DATE(YEAR(A201),MONTH(A201),1)</f>
        <v>46113</v>
      </c>
      <c r="C201" s="5" t="s">
        <v>92</v>
      </c>
      <c r="D201" s="5" t="s">
        <v>170</v>
      </c>
      <c r="E201" s="48" t="n">
        <v>-398.04</v>
      </c>
      <c r="F201" s="48" t="n">
        <v>1236.22</v>
      </c>
      <c r="G201" s="49" t="s">
        <v>171</v>
      </c>
      <c r="H201" s="27" t="str">
        <f aca="false">IFERROR(VLOOKUP(G201,CATEGORÍAS!$A$4:$C$100,2,FALSE()),"Por revisar")</f>
        <v>Traspaso</v>
      </c>
      <c r="I201" s="27" t="str">
        <f aca="false">IFERROR(VLOOKUP(G201,CATEGORÍAS!$A$4:$C$100,3,FALSE()),"")</f>
        <v>Traspasos</v>
      </c>
      <c r="J201" s="49"/>
      <c r="K201" s="50" t="s">
        <v>367</v>
      </c>
    </row>
    <row r="202" customFormat="false" ht="15" hidden="false" customHeight="false" outlineLevel="0" collapsed="false">
      <c r="A202" s="46" t="n">
        <v>46115</v>
      </c>
      <c r="B202" s="47" t="n">
        <f aca="false">DATE(YEAR(A202),MONTH(A202),1)</f>
        <v>46113</v>
      </c>
      <c r="C202" s="5" t="s">
        <v>120</v>
      </c>
      <c r="D202" s="5" t="s">
        <v>124</v>
      </c>
      <c r="E202" s="48" t="n">
        <v>-4.44</v>
      </c>
      <c r="F202" s="5"/>
      <c r="G202" s="49" t="s">
        <v>125</v>
      </c>
      <c r="H202" s="27" t="str">
        <f aca="false">IFERROR(VLOOKUP(G202,CATEGORÍAS!$A$4:$C$100,2,FALSE()),"Por revisar")</f>
        <v>Gasto</v>
      </c>
      <c r="I202" s="27" t="str">
        <f aca="false">IFERROR(VLOOKUP(G202,CATEGORÍAS!$A$4:$C$100,3,FALSE()),"")</f>
        <v>Comida</v>
      </c>
      <c r="J202" s="49"/>
      <c r="K202" s="50" t="s">
        <v>368</v>
      </c>
    </row>
    <row r="203" customFormat="false" ht="15" hidden="false" customHeight="false" outlineLevel="0" collapsed="false">
      <c r="A203" s="46" t="n">
        <v>46115</v>
      </c>
      <c r="B203" s="47" t="n">
        <f aca="false">DATE(YEAR(A203),MONTH(A203),1)</f>
        <v>46113</v>
      </c>
      <c r="C203" s="5" t="s">
        <v>120</v>
      </c>
      <c r="D203" s="5" t="s">
        <v>129</v>
      </c>
      <c r="E203" s="48" t="n">
        <v>-20</v>
      </c>
      <c r="F203" s="5"/>
      <c r="G203" s="49" t="s">
        <v>130</v>
      </c>
      <c r="H203" s="27" t="str">
        <f aca="false">IFERROR(VLOOKUP(G203,CATEGORÍAS!$A$4:$C$100,2,FALSE()),"Por revisar")</f>
        <v>Gasto</v>
      </c>
      <c r="I203" s="27" t="str">
        <f aca="false">IFERROR(VLOOKUP(G203,CATEGORÍAS!$A$4:$C$100,3,FALSE()),"")</f>
        <v>Transporte</v>
      </c>
      <c r="J203" s="49"/>
      <c r="K203" s="50" t="s">
        <v>369</v>
      </c>
    </row>
    <row r="204" customFormat="false" ht="15" hidden="false" customHeight="false" outlineLevel="0" collapsed="false">
      <c r="A204" s="46" t="n">
        <v>46115</v>
      </c>
      <c r="B204" s="47" t="n">
        <f aca="false">DATE(YEAR(A204),MONTH(A204),1)</f>
        <v>46113</v>
      </c>
      <c r="C204" s="5" t="s">
        <v>91</v>
      </c>
      <c r="D204" s="5" t="s">
        <v>177</v>
      </c>
      <c r="E204" s="48" t="n">
        <v>-150</v>
      </c>
      <c r="F204" s="48" t="n">
        <v>4701.69</v>
      </c>
      <c r="G204" s="49" t="s">
        <v>178</v>
      </c>
      <c r="H204" s="27" t="str">
        <f aca="false">IFERROR(VLOOKUP(G204,CATEGORÍAS!$A$4:$C$100,2,FALSE()),"Por revisar")</f>
        <v>Gasto</v>
      </c>
      <c r="I204" s="27" t="str">
        <f aca="false">IFERROR(VLOOKUP(G204,CATEGORÍAS!$A$4:$C$100,3,FALSE()),"")</f>
        <v>Viajes</v>
      </c>
      <c r="J204" s="49"/>
      <c r="K204" s="50" t="s">
        <v>370</v>
      </c>
    </row>
    <row r="205" customFormat="false" ht="15" hidden="false" customHeight="false" outlineLevel="0" collapsed="false">
      <c r="A205" s="46" t="n">
        <v>46114</v>
      </c>
      <c r="B205" s="47" t="n">
        <f aca="false">DATE(YEAR(A205),MONTH(A205),1)</f>
        <v>46113</v>
      </c>
      <c r="C205" s="5" t="s">
        <v>91</v>
      </c>
      <c r="D205" s="5" t="s">
        <v>180</v>
      </c>
      <c r="E205" s="48" t="n">
        <v>-300</v>
      </c>
      <c r="F205" s="48" t="n">
        <v>5331.69</v>
      </c>
      <c r="G205" s="49" t="s">
        <v>181</v>
      </c>
      <c r="H205" s="27" t="str">
        <f aca="false">IFERROR(VLOOKUP(G205,CATEGORÍAS!$A$4:$C$100,2,FALSE()),"Por revisar")</f>
        <v>Traspaso</v>
      </c>
      <c r="I205" s="27" t="str">
        <f aca="false">IFERROR(VLOOKUP(G205,CATEGORÍAS!$A$4:$C$100,3,FALSE()),"")</f>
        <v>Traspasos</v>
      </c>
      <c r="J205" s="49"/>
      <c r="K205" s="50" t="s">
        <v>371</v>
      </c>
    </row>
    <row r="206" customFormat="false" ht="15" hidden="false" customHeight="false" outlineLevel="0" collapsed="false">
      <c r="A206" s="46" t="n">
        <v>46114</v>
      </c>
      <c r="B206" s="47" t="n">
        <f aca="false">DATE(YEAR(A206),MONTH(A206),1)</f>
        <v>46113</v>
      </c>
      <c r="C206" s="5" t="s">
        <v>91</v>
      </c>
      <c r="D206" s="5" t="s">
        <v>183</v>
      </c>
      <c r="E206" s="48" t="n">
        <v>-480</v>
      </c>
      <c r="F206" s="48" t="n">
        <v>4851.69</v>
      </c>
      <c r="G206" s="49" t="s">
        <v>181</v>
      </c>
      <c r="H206" s="27" t="str">
        <f aca="false">IFERROR(VLOOKUP(G206,CATEGORÍAS!$A$4:$C$100,2,FALSE()),"Por revisar")</f>
        <v>Traspaso</v>
      </c>
      <c r="I206" s="27" t="str">
        <f aca="false">IFERROR(VLOOKUP(G206,CATEGORÍAS!$A$4:$C$100,3,FALSE()),"")</f>
        <v>Traspasos</v>
      </c>
      <c r="J206" s="49"/>
      <c r="K206" s="50" t="s">
        <v>372</v>
      </c>
    </row>
    <row r="207" customFormat="false" ht="15" hidden="false" customHeight="false" outlineLevel="0" collapsed="false">
      <c r="A207" s="46" t="n">
        <v>46114</v>
      </c>
      <c r="B207" s="47" t="n">
        <f aca="false">DATE(YEAR(A207),MONTH(A207),1)</f>
        <v>46113</v>
      </c>
      <c r="C207" s="5" t="s">
        <v>93</v>
      </c>
      <c r="D207" s="5" t="s">
        <v>185</v>
      </c>
      <c r="E207" s="48" t="n">
        <v>300</v>
      </c>
      <c r="F207" s="48" t="n">
        <v>54299.25</v>
      </c>
      <c r="G207" s="49" t="s">
        <v>181</v>
      </c>
      <c r="H207" s="27" t="str">
        <f aca="false">IFERROR(VLOOKUP(G207,CATEGORÍAS!$A$4:$C$100,2,FALSE()),"Por revisar")</f>
        <v>Traspaso</v>
      </c>
      <c r="I207" s="27" t="str">
        <f aca="false">IFERROR(VLOOKUP(G207,CATEGORÍAS!$A$4:$C$100,3,FALSE()),"")</f>
        <v>Traspasos</v>
      </c>
      <c r="J207" s="49"/>
      <c r="K207" s="50" t="s">
        <v>373</v>
      </c>
    </row>
    <row r="208" customFormat="false" ht="15" hidden="false" customHeight="false" outlineLevel="0" collapsed="false">
      <c r="A208" s="46" t="n">
        <v>46114</v>
      </c>
      <c r="B208" s="47" t="n">
        <f aca="false">DATE(YEAR(A208),MONTH(A208),1)</f>
        <v>46113</v>
      </c>
      <c r="C208" s="5" t="s">
        <v>92</v>
      </c>
      <c r="D208" s="5" t="s">
        <v>185</v>
      </c>
      <c r="E208" s="48" t="n">
        <v>480</v>
      </c>
      <c r="F208" s="48" t="n">
        <v>1634.26</v>
      </c>
      <c r="G208" s="49" t="s">
        <v>181</v>
      </c>
      <c r="H208" s="27" t="str">
        <f aca="false">IFERROR(VLOOKUP(G208,CATEGORÍAS!$A$4:$C$100,2,FALSE()),"Por revisar")</f>
        <v>Traspaso</v>
      </c>
      <c r="I208" s="27" t="str">
        <f aca="false">IFERROR(VLOOKUP(G208,CATEGORÍAS!$A$4:$C$100,3,FALSE()),"")</f>
        <v>Traspasos</v>
      </c>
      <c r="J208" s="49"/>
      <c r="K208" s="50" t="s">
        <v>374</v>
      </c>
    </row>
    <row r="209" customFormat="false" ht="15" hidden="false" customHeight="false" outlineLevel="0" collapsed="false">
      <c r="A209" s="46" t="n">
        <v>46113</v>
      </c>
      <c r="B209" s="47" t="n">
        <f aca="false">DATE(YEAR(A209),MONTH(A209),1)</f>
        <v>46113</v>
      </c>
      <c r="C209" s="5" t="s">
        <v>120</v>
      </c>
      <c r="D209" s="5" t="s">
        <v>124</v>
      </c>
      <c r="E209" s="48" t="n">
        <v>-5.97</v>
      </c>
      <c r="F209" s="5"/>
      <c r="G209" s="49" t="s">
        <v>125</v>
      </c>
      <c r="H209" s="27" t="str">
        <f aca="false">IFERROR(VLOOKUP(G209,CATEGORÍAS!$A$4:$C$100,2,FALSE()),"Por revisar")</f>
        <v>Gasto</v>
      </c>
      <c r="I209" s="27" t="str">
        <f aca="false">IFERROR(VLOOKUP(G209,CATEGORÍAS!$A$4:$C$100,3,FALSE()),"")</f>
        <v>Comida</v>
      </c>
      <c r="J209" s="49"/>
      <c r="K209" s="50" t="s">
        <v>375</v>
      </c>
    </row>
    <row r="210" customFormat="false" ht="15" hidden="false" customHeight="false" outlineLevel="0" collapsed="false">
      <c r="A210" s="46" t="n">
        <v>46113</v>
      </c>
      <c r="B210" s="47" t="n">
        <f aca="false">DATE(YEAR(A210),MONTH(A210),1)</f>
        <v>46113</v>
      </c>
      <c r="C210" s="5" t="s">
        <v>91</v>
      </c>
      <c r="D210" s="5" t="s">
        <v>376</v>
      </c>
      <c r="E210" s="48" t="n">
        <v>-850</v>
      </c>
      <c r="F210" s="48" t="n">
        <v>5631.69</v>
      </c>
      <c r="G210" s="49" t="s">
        <v>189</v>
      </c>
      <c r="H210" s="27" t="str">
        <f aca="false">IFERROR(VLOOKUP(G210,CATEGORÍAS!$A$4:$C$100,2,FALSE()),"Por revisar")</f>
        <v>Gasto</v>
      </c>
      <c r="I210" s="27" t="str">
        <f aca="false">IFERROR(VLOOKUP(G210,CATEGORÍAS!$A$4:$C$100,3,FALSE()),"")</f>
        <v>Casa</v>
      </c>
      <c r="J210" s="49"/>
      <c r="K210" s="50" t="s">
        <v>377</v>
      </c>
    </row>
    <row r="211" customFormat="false" ht="15" hidden="false" customHeight="false" outlineLevel="0" collapsed="false">
      <c r="A211" s="46" t="n">
        <v>46112</v>
      </c>
      <c r="B211" s="47" t="n">
        <f aca="false">DATE(YEAR(A211),MONTH(A211),1)</f>
        <v>46082</v>
      </c>
      <c r="C211" s="5" t="s">
        <v>93</v>
      </c>
      <c r="D211" s="5" t="s">
        <v>114</v>
      </c>
      <c r="E211" s="48" t="n">
        <v>33.73</v>
      </c>
      <c r="F211" s="48" t="n">
        <v>53999.25</v>
      </c>
      <c r="G211" s="49" t="s">
        <v>115</v>
      </c>
      <c r="H211" s="27" t="str">
        <f aca="false">IFERROR(VLOOKUP(G211,CATEGORÍAS!$A$4:$C$100,2,FALSE()),"Por revisar")</f>
        <v>Ingreso</v>
      </c>
      <c r="I211" s="27" t="str">
        <f aca="false">IFERROR(VLOOKUP(G211,CATEGORÍAS!$A$4:$C$100,3,FALSE()),"")</f>
        <v>Ahorro</v>
      </c>
      <c r="J211" s="49"/>
      <c r="K211" s="50" t="s">
        <v>378</v>
      </c>
    </row>
    <row r="212" customFormat="false" ht="15" hidden="false" customHeight="false" outlineLevel="0" collapsed="false">
      <c r="A212" s="46" t="n">
        <v>46109</v>
      </c>
      <c r="B212" s="47" t="n">
        <f aca="false">DATE(YEAR(A212),MONTH(A212),1)</f>
        <v>46082</v>
      </c>
      <c r="C212" s="5" t="s">
        <v>120</v>
      </c>
      <c r="D212" s="5" t="s">
        <v>146</v>
      </c>
      <c r="E212" s="48" t="n">
        <v>-54.23</v>
      </c>
      <c r="F212" s="5"/>
      <c r="G212" s="49" t="s">
        <v>130</v>
      </c>
      <c r="H212" s="27" t="str">
        <f aca="false">IFERROR(VLOOKUP(G212,CATEGORÍAS!$A$4:$C$100,2,FALSE()),"Por revisar")</f>
        <v>Gasto</v>
      </c>
      <c r="I212" s="27" t="str">
        <f aca="false">IFERROR(VLOOKUP(G212,CATEGORÍAS!$A$4:$C$100,3,FALSE()),"")</f>
        <v>Transporte</v>
      </c>
      <c r="J212" s="49"/>
      <c r="K212" s="50" t="s">
        <v>379</v>
      </c>
    </row>
    <row r="213" customFormat="false" ht="15" hidden="false" customHeight="false" outlineLevel="0" collapsed="false">
      <c r="A213" s="46" t="n">
        <v>46109</v>
      </c>
      <c r="B213" s="47" t="n">
        <f aca="false">DATE(YEAR(A213),MONTH(A213),1)</f>
        <v>46082</v>
      </c>
      <c r="C213" s="5" t="s">
        <v>91</v>
      </c>
      <c r="D213" s="5" t="s">
        <v>117</v>
      </c>
      <c r="E213" s="48" t="n">
        <v>2150</v>
      </c>
      <c r="F213" s="48" t="n">
        <v>6481.69</v>
      </c>
      <c r="G213" s="49" t="s">
        <v>118</v>
      </c>
      <c r="H213" s="27" t="str">
        <f aca="false">IFERROR(VLOOKUP(G213,CATEGORÍAS!$A$4:$C$100,2,FALSE()),"Por revisar")</f>
        <v>Ingreso</v>
      </c>
      <c r="I213" s="27" t="str">
        <f aca="false">IFERROR(VLOOKUP(G213,CATEGORÍAS!$A$4:$C$100,3,FALSE()),"")</f>
        <v>Trabajo</v>
      </c>
      <c r="J213" s="49"/>
      <c r="K213" s="50" t="s">
        <v>380</v>
      </c>
    </row>
    <row r="214" customFormat="false" ht="15" hidden="false" customHeight="false" outlineLevel="0" collapsed="false">
      <c r="A214" s="46" t="n">
        <v>46108</v>
      </c>
      <c r="B214" s="47" t="n">
        <f aca="false">DATE(YEAR(A214),MONTH(A214),1)</f>
        <v>46082</v>
      </c>
      <c r="C214" s="5" t="s">
        <v>120</v>
      </c>
      <c r="D214" s="5" t="s">
        <v>129</v>
      </c>
      <c r="E214" s="48" t="n">
        <v>-20</v>
      </c>
      <c r="F214" s="5"/>
      <c r="G214" s="49" t="s">
        <v>130</v>
      </c>
      <c r="H214" s="27" t="str">
        <f aca="false">IFERROR(VLOOKUP(G214,CATEGORÍAS!$A$4:$C$100,2,FALSE()),"Por revisar")</f>
        <v>Gasto</v>
      </c>
      <c r="I214" s="27" t="str">
        <f aca="false">IFERROR(VLOOKUP(G214,CATEGORÍAS!$A$4:$C$100,3,FALSE()),"")</f>
        <v>Transporte</v>
      </c>
      <c r="J214" s="49"/>
      <c r="K214" s="50" t="s">
        <v>381</v>
      </c>
    </row>
    <row r="215" customFormat="false" ht="15" hidden="false" customHeight="false" outlineLevel="0" collapsed="false">
      <c r="A215" s="46" t="n">
        <v>46105</v>
      </c>
      <c r="B215" s="47" t="n">
        <f aca="false">DATE(YEAR(A215),MONTH(A215),1)</f>
        <v>46082</v>
      </c>
      <c r="C215" s="5" t="s">
        <v>120</v>
      </c>
      <c r="D215" s="5" t="s">
        <v>135</v>
      </c>
      <c r="E215" s="48" t="n">
        <v>-27.24</v>
      </c>
      <c r="F215" s="5"/>
      <c r="G215" s="49" t="s">
        <v>136</v>
      </c>
      <c r="H215" s="27" t="str">
        <f aca="false">IFERROR(VLOOKUP(G215,CATEGORÍAS!$A$4:$C$100,2,FALSE()),"Por revisar")</f>
        <v>Gasto</v>
      </c>
      <c r="I215" s="27" t="str">
        <f aca="false">IFERROR(VLOOKUP(G215,CATEGORÍAS!$A$4:$C$100,3,FALSE()),"")</f>
        <v>Personal</v>
      </c>
      <c r="J215" s="49"/>
      <c r="K215" s="50" t="s">
        <v>382</v>
      </c>
    </row>
    <row r="216" customFormat="false" ht="15" hidden="false" customHeight="false" outlineLevel="0" collapsed="false">
      <c r="A216" s="46" t="n">
        <v>46105</v>
      </c>
      <c r="B216" s="47" t="n">
        <f aca="false">DATE(YEAR(A216),MONTH(A216),1)</f>
        <v>46082</v>
      </c>
      <c r="C216" s="5" t="s">
        <v>91</v>
      </c>
      <c r="D216" s="5" t="s">
        <v>132</v>
      </c>
      <c r="E216" s="48" t="n">
        <v>36</v>
      </c>
      <c r="F216" s="48" t="n">
        <v>4331.69</v>
      </c>
      <c r="G216" s="49" t="s">
        <v>201</v>
      </c>
      <c r="H216" s="27" t="str">
        <f aca="false">IFERROR(VLOOKUP(G216,CATEGORÍAS!$A$4:$C$100,2,FALSE()),"Por revisar")</f>
        <v>Gasto</v>
      </c>
      <c r="I216" s="27" t="str">
        <f aca="false">IFERROR(VLOOKUP(G216,CATEGORÍAS!$A$4:$C$100,3,FALSE()),"")</f>
        <v>Comida</v>
      </c>
      <c r="J216" s="49"/>
      <c r="K216" s="50" t="s">
        <v>383</v>
      </c>
    </row>
    <row r="217" customFormat="false" ht="15" hidden="false" customHeight="false" outlineLevel="0" collapsed="false">
      <c r="A217" s="46" t="n">
        <v>46103</v>
      </c>
      <c r="B217" s="47" t="n">
        <f aca="false">DATE(YEAR(A217),MONTH(A217),1)</f>
        <v>46082</v>
      </c>
      <c r="C217" s="5" t="s">
        <v>120</v>
      </c>
      <c r="D217" s="5" t="s">
        <v>124</v>
      </c>
      <c r="E217" s="48" t="n">
        <v>-6.11</v>
      </c>
      <c r="F217" s="5"/>
      <c r="G217" s="49" t="s">
        <v>125</v>
      </c>
      <c r="H217" s="27" t="str">
        <f aca="false">IFERROR(VLOOKUP(G217,CATEGORÍAS!$A$4:$C$100,2,FALSE()),"Por revisar")</f>
        <v>Gasto</v>
      </c>
      <c r="I217" s="27" t="str">
        <f aca="false">IFERROR(VLOOKUP(G217,CATEGORÍAS!$A$4:$C$100,3,FALSE()),"")</f>
        <v>Comida</v>
      </c>
      <c r="J217" s="49"/>
      <c r="K217" s="50" t="s">
        <v>384</v>
      </c>
    </row>
    <row r="218" customFormat="false" ht="15" hidden="false" customHeight="false" outlineLevel="0" collapsed="false">
      <c r="A218" s="46" t="n">
        <v>46103</v>
      </c>
      <c r="B218" s="47" t="n">
        <f aca="false">DATE(YEAR(A218),MONTH(A218),1)</f>
        <v>46082</v>
      </c>
      <c r="C218" s="5" t="s">
        <v>120</v>
      </c>
      <c r="D218" s="5" t="s">
        <v>124</v>
      </c>
      <c r="E218" s="48" t="n">
        <v>-3.93</v>
      </c>
      <c r="F218" s="5"/>
      <c r="G218" s="49" t="s">
        <v>125</v>
      </c>
      <c r="H218" s="27" t="str">
        <f aca="false">IFERROR(VLOOKUP(G218,CATEGORÍAS!$A$4:$C$100,2,FALSE()),"Por revisar")</f>
        <v>Gasto</v>
      </c>
      <c r="I218" s="27" t="str">
        <f aca="false">IFERROR(VLOOKUP(G218,CATEGORÍAS!$A$4:$C$100,3,FALSE()),"")</f>
        <v>Comida</v>
      </c>
      <c r="J218" s="49"/>
      <c r="K218" s="50" t="s">
        <v>385</v>
      </c>
    </row>
    <row r="219" customFormat="false" ht="15" hidden="false" customHeight="false" outlineLevel="0" collapsed="false">
      <c r="A219" s="46" t="n">
        <v>46103</v>
      </c>
      <c r="B219" s="47" t="n">
        <f aca="false">DATE(YEAR(A219),MONTH(A219),1)</f>
        <v>46082</v>
      </c>
      <c r="C219" s="5" t="s">
        <v>91</v>
      </c>
      <c r="D219" s="5" t="s">
        <v>140</v>
      </c>
      <c r="E219" s="48" t="n">
        <v>-22</v>
      </c>
      <c r="F219" s="48" t="n">
        <v>4295.69</v>
      </c>
      <c r="G219" s="49" t="s">
        <v>141</v>
      </c>
      <c r="H219" s="27" t="str">
        <f aca="false">IFERROR(VLOOKUP(G219,CATEGORÍAS!$A$4:$C$100,2,FALSE()),"Por revisar")</f>
        <v>Gasto</v>
      </c>
      <c r="I219" s="27" t="str">
        <f aca="false">IFERROR(VLOOKUP(G219,CATEGORÍAS!$A$4:$C$100,3,FALSE()),"")</f>
        <v>Personal</v>
      </c>
      <c r="J219" s="49"/>
      <c r="K219" s="50" t="s">
        <v>386</v>
      </c>
    </row>
    <row r="220" customFormat="false" ht="15" hidden="false" customHeight="false" outlineLevel="0" collapsed="false">
      <c r="A220" s="46" t="n">
        <v>46102</v>
      </c>
      <c r="B220" s="47" t="n">
        <f aca="false">DATE(YEAR(A220),MONTH(A220),1)</f>
        <v>46082</v>
      </c>
      <c r="C220" s="5" t="s">
        <v>120</v>
      </c>
      <c r="D220" s="5" t="s">
        <v>121</v>
      </c>
      <c r="E220" s="48" t="n">
        <v>-21.63</v>
      </c>
      <c r="F220" s="5"/>
      <c r="G220" s="49" t="s">
        <v>122</v>
      </c>
      <c r="H220" s="27" t="str">
        <f aca="false">IFERROR(VLOOKUP(G220,CATEGORÍAS!$A$4:$C$100,2,FALSE()),"Por revisar")</f>
        <v>Gasto</v>
      </c>
      <c r="I220" s="27" t="str">
        <f aca="false">IFERROR(VLOOKUP(G220,CATEGORÍAS!$A$4:$C$100,3,FALSE()),"")</f>
        <v>Comida</v>
      </c>
      <c r="J220" s="49"/>
      <c r="K220" s="50" t="s">
        <v>387</v>
      </c>
    </row>
    <row r="221" customFormat="false" ht="15" hidden="false" customHeight="false" outlineLevel="0" collapsed="false">
      <c r="A221" s="46" t="n">
        <v>46099</v>
      </c>
      <c r="B221" s="47" t="n">
        <f aca="false">DATE(YEAR(A221),MONTH(A221),1)</f>
        <v>46082</v>
      </c>
      <c r="C221" s="5" t="s">
        <v>120</v>
      </c>
      <c r="D221" s="5" t="s">
        <v>124</v>
      </c>
      <c r="E221" s="48" t="n">
        <v>-2.68</v>
      </c>
      <c r="F221" s="5"/>
      <c r="G221" s="49" t="s">
        <v>125</v>
      </c>
      <c r="H221" s="27" t="str">
        <f aca="false">IFERROR(VLOOKUP(G221,CATEGORÍAS!$A$4:$C$100,2,FALSE()),"Por revisar")</f>
        <v>Gasto</v>
      </c>
      <c r="I221" s="27" t="str">
        <f aca="false">IFERROR(VLOOKUP(G221,CATEGORÍAS!$A$4:$C$100,3,FALSE()),"")</f>
        <v>Comida</v>
      </c>
      <c r="J221" s="49"/>
      <c r="K221" s="50" t="s">
        <v>388</v>
      </c>
    </row>
    <row r="222" customFormat="false" ht="15" hidden="false" customHeight="false" outlineLevel="0" collapsed="false">
      <c r="A222" s="46" t="n">
        <v>46099</v>
      </c>
      <c r="B222" s="47" t="n">
        <f aca="false">DATE(YEAR(A222),MONTH(A222),1)</f>
        <v>46082</v>
      </c>
      <c r="C222" s="5" t="s">
        <v>120</v>
      </c>
      <c r="D222" s="5" t="s">
        <v>127</v>
      </c>
      <c r="E222" s="48" t="n">
        <v>-39.24</v>
      </c>
      <c r="F222" s="5"/>
      <c r="G222" s="49" t="s">
        <v>125</v>
      </c>
      <c r="H222" s="27" t="str">
        <f aca="false">IFERROR(VLOOKUP(G222,CATEGORÍAS!$A$4:$C$100,2,FALSE()),"Por revisar")</f>
        <v>Gasto</v>
      </c>
      <c r="I222" s="27" t="str">
        <f aca="false">IFERROR(VLOOKUP(G222,CATEGORÍAS!$A$4:$C$100,3,FALSE()),"")</f>
        <v>Comida</v>
      </c>
      <c r="J222" s="49"/>
      <c r="K222" s="50" t="s">
        <v>389</v>
      </c>
    </row>
    <row r="223" customFormat="false" ht="15" hidden="false" customHeight="false" outlineLevel="0" collapsed="false">
      <c r="A223" s="46" t="n">
        <v>46096</v>
      </c>
      <c r="B223" s="47" t="n">
        <f aca="false">DATE(YEAR(A223),MONTH(A223),1)</f>
        <v>46082</v>
      </c>
      <c r="C223" s="5" t="s">
        <v>91</v>
      </c>
      <c r="D223" s="5" t="s">
        <v>390</v>
      </c>
      <c r="E223" s="48" t="n">
        <v>-148</v>
      </c>
      <c r="F223" s="48" t="n">
        <v>4317.69</v>
      </c>
      <c r="G223" s="49" t="s">
        <v>391</v>
      </c>
      <c r="H223" s="27" t="str">
        <f aca="false">IFERROR(VLOOKUP(G223,CATEGORÍAS!$A$4:$C$100,2,FALSE()),"Por revisar")</f>
        <v>Gasto</v>
      </c>
      <c r="I223" s="27" t="str">
        <f aca="false">IFERROR(VLOOKUP(G223,CATEGORÍAS!$A$4:$C$100,3,FALSE()),"")</f>
        <v>Casa</v>
      </c>
      <c r="J223" s="49"/>
      <c r="K223" s="50" t="s">
        <v>392</v>
      </c>
    </row>
    <row r="224" customFormat="false" ht="15" hidden="false" customHeight="false" outlineLevel="0" collapsed="false">
      <c r="A224" s="46" t="n">
        <v>46095</v>
      </c>
      <c r="B224" s="47" t="n">
        <f aca="false">DATE(YEAR(A224),MONTH(A224),1)</f>
        <v>46082</v>
      </c>
      <c r="C224" s="5" t="s">
        <v>120</v>
      </c>
      <c r="D224" s="5" t="s">
        <v>121</v>
      </c>
      <c r="E224" s="48" t="n">
        <v>-16.09</v>
      </c>
      <c r="F224" s="5"/>
      <c r="G224" s="49" t="s">
        <v>122</v>
      </c>
      <c r="H224" s="27" t="str">
        <f aca="false">IFERROR(VLOOKUP(G224,CATEGORÍAS!$A$4:$C$100,2,FALSE()),"Por revisar")</f>
        <v>Gasto</v>
      </c>
      <c r="I224" s="27" t="str">
        <f aca="false">IFERROR(VLOOKUP(G224,CATEGORÍAS!$A$4:$C$100,3,FALSE()),"")</f>
        <v>Comida</v>
      </c>
      <c r="J224" s="49"/>
      <c r="K224" s="50" t="s">
        <v>393</v>
      </c>
    </row>
    <row r="225" customFormat="false" ht="15" hidden="false" customHeight="false" outlineLevel="0" collapsed="false">
      <c r="A225" s="46" t="n">
        <v>46095</v>
      </c>
      <c r="B225" s="47" t="n">
        <f aca="false">DATE(YEAR(A225),MONTH(A225),1)</f>
        <v>46082</v>
      </c>
      <c r="C225" s="5" t="s">
        <v>120</v>
      </c>
      <c r="D225" s="5" t="s">
        <v>144</v>
      </c>
      <c r="E225" s="48" t="n">
        <v>-34.58</v>
      </c>
      <c r="F225" s="5"/>
      <c r="G225" s="49" t="s">
        <v>122</v>
      </c>
      <c r="H225" s="27" t="str">
        <f aca="false">IFERROR(VLOOKUP(G225,CATEGORÍAS!$A$4:$C$100,2,FALSE()),"Por revisar")</f>
        <v>Gasto</v>
      </c>
      <c r="I225" s="27" t="str">
        <f aca="false">IFERROR(VLOOKUP(G225,CATEGORÍAS!$A$4:$C$100,3,FALSE()),"")</f>
        <v>Comida</v>
      </c>
      <c r="J225" s="49"/>
      <c r="K225" s="50" t="s">
        <v>394</v>
      </c>
    </row>
    <row r="226" customFormat="false" ht="15" hidden="false" customHeight="false" outlineLevel="0" collapsed="false">
      <c r="A226" s="46" t="n">
        <v>46094</v>
      </c>
      <c r="B226" s="47" t="n">
        <f aca="false">DATE(YEAR(A226),MONTH(A226),1)</f>
        <v>46082</v>
      </c>
      <c r="C226" s="5" t="s">
        <v>120</v>
      </c>
      <c r="D226" s="5" t="s">
        <v>124</v>
      </c>
      <c r="E226" s="48" t="n">
        <v>-4.95</v>
      </c>
      <c r="F226" s="5"/>
      <c r="G226" s="49" t="s">
        <v>125</v>
      </c>
      <c r="H226" s="27" t="str">
        <f aca="false">IFERROR(VLOOKUP(G226,CATEGORÍAS!$A$4:$C$100,2,FALSE()),"Por revisar")</f>
        <v>Gasto</v>
      </c>
      <c r="I226" s="27" t="str">
        <f aca="false">IFERROR(VLOOKUP(G226,CATEGORÍAS!$A$4:$C$100,3,FALSE()),"")</f>
        <v>Comida</v>
      </c>
      <c r="J226" s="49"/>
      <c r="K226" s="50" t="s">
        <v>395</v>
      </c>
    </row>
    <row r="227" customFormat="false" ht="15" hidden="false" customHeight="false" outlineLevel="0" collapsed="false">
      <c r="A227" s="46" t="n">
        <v>46092</v>
      </c>
      <c r="B227" s="47" t="n">
        <f aca="false">DATE(YEAR(A227),MONTH(A227),1)</f>
        <v>46082</v>
      </c>
      <c r="C227" s="5" t="s">
        <v>120</v>
      </c>
      <c r="D227" s="5" t="s">
        <v>144</v>
      </c>
      <c r="E227" s="48" t="n">
        <v>-28.27</v>
      </c>
      <c r="F227" s="5"/>
      <c r="G227" s="49" t="s">
        <v>122</v>
      </c>
      <c r="H227" s="27" t="str">
        <f aca="false">IFERROR(VLOOKUP(G227,CATEGORÍAS!$A$4:$C$100,2,FALSE()),"Por revisar")</f>
        <v>Gasto</v>
      </c>
      <c r="I227" s="27" t="str">
        <f aca="false">IFERROR(VLOOKUP(G227,CATEGORÍAS!$A$4:$C$100,3,FALSE()),"")</f>
        <v>Comida</v>
      </c>
      <c r="J227" s="49"/>
      <c r="K227" s="50" t="s">
        <v>396</v>
      </c>
    </row>
    <row r="228" customFormat="false" ht="15" hidden="false" customHeight="false" outlineLevel="0" collapsed="false">
      <c r="A228" s="46" t="n">
        <v>46092</v>
      </c>
      <c r="B228" s="47" t="n">
        <f aca="false">DATE(YEAR(A228),MONTH(A228),1)</f>
        <v>46082</v>
      </c>
      <c r="C228" s="5" t="s">
        <v>91</v>
      </c>
      <c r="D228" s="5" t="s">
        <v>200</v>
      </c>
      <c r="E228" s="48" t="n">
        <v>35</v>
      </c>
      <c r="F228" s="48" t="n">
        <v>4465.69</v>
      </c>
      <c r="G228" s="49" t="s">
        <v>201</v>
      </c>
      <c r="H228" s="27" t="str">
        <f aca="false">IFERROR(VLOOKUP(G228,CATEGORÍAS!$A$4:$C$100,2,FALSE()),"Por revisar")</f>
        <v>Gasto</v>
      </c>
      <c r="I228" s="27" t="str">
        <f aca="false">IFERROR(VLOOKUP(G228,CATEGORÍAS!$A$4:$C$100,3,FALSE()),"")</f>
        <v>Comida</v>
      </c>
      <c r="J228" s="49"/>
      <c r="K228" s="50" t="s">
        <v>397</v>
      </c>
    </row>
    <row r="229" customFormat="false" ht="15" hidden="false" customHeight="false" outlineLevel="0" collapsed="false">
      <c r="A229" s="46" t="n">
        <v>46090</v>
      </c>
      <c r="B229" s="47" t="n">
        <f aca="false">DATE(YEAR(A229),MONTH(A229),1)</f>
        <v>46082</v>
      </c>
      <c r="C229" s="5" t="s">
        <v>120</v>
      </c>
      <c r="D229" s="5" t="s">
        <v>159</v>
      </c>
      <c r="E229" s="48" t="n">
        <v>-13.5</v>
      </c>
      <c r="F229" s="5"/>
      <c r="G229" s="49" t="s">
        <v>160</v>
      </c>
      <c r="H229" s="27" t="str">
        <f aca="false">IFERROR(VLOOKUP(G229,CATEGORÍAS!$A$4:$C$100,2,FALSE()),"Por revisar")</f>
        <v>Gasto</v>
      </c>
      <c r="I229" s="27" t="str">
        <f aca="false">IFERROR(VLOOKUP(G229,CATEGORÍAS!$A$4:$C$100,3,FALSE()),"")</f>
        <v>Salud</v>
      </c>
      <c r="J229" s="49"/>
      <c r="K229" s="50" t="s">
        <v>398</v>
      </c>
    </row>
    <row r="230" customFormat="false" ht="15" hidden="false" customHeight="false" outlineLevel="0" collapsed="false">
      <c r="A230" s="46" t="n">
        <v>46090</v>
      </c>
      <c r="B230" s="47" t="n">
        <f aca="false">DATE(YEAR(A230),MONTH(A230),1)</f>
        <v>46082</v>
      </c>
      <c r="C230" s="5" t="s">
        <v>91</v>
      </c>
      <c r="D230" s="5" t="s">
        <v>153</v>
      </c>
      <c r="E230" s="48" t="n">
        <v>-12.99</v>
      </c>
      <c r="F230" s="48" t="n">
        <v>4430.69</v>
      </c>
      <c r="G230" s="49" t="s">
        <v>154</v>
      </c>
      <c r="H230" s="27" t="str">
        <f aca="false">IFERROR(VLOOKUP(G230,CATEGORÍAS!$A$4:$C$100,2,FALSE()),"Por revisar")</f>
        <v>Gasto</v>
      </c>
      <c r="I230" s="27" t="str">
        <f aca="false">IFERROR(VLOOKUP(G230,CATEGORÍAS!$A$4:$C$100,3,FALSE()),"")</f>
        <v>Personal</v>
      </c>
      <c r="J230" s="49"/>
      <c r="K230" s="50" t="s">
        <v>399</v>
      </c>
    </row>
    <row r="231" customFormat="false" ht="15" hidden="false" customHeight="false" outlineLevel="0" collapsed="false">
      <c r="A231" s="46" t="n">
        <v>46089</v>
      </c>
      <c r="B231" s="47" t="n">
        <f aca="false">DATE(YEAR(A231),MONTH(A231),1)</f>
        <v>46082</v>
      </c>
      <c r="C231" s="5" t="s">
        <v>91</v>
      </c>
      <c r="D231" s="5" t="s">
        <v>156</v>
      </c>
      <c r="E231" s="48" t="n">
        <v>-40.63</v>
      </c>
      <c r="F231" s="48" t="n">
        <v>4443.68</v>
      </c>
      <c r="G231" s="49" t="s">
        <v>157</v>
      </c>
      <c r="H231" s="27" t="str">
        <f aca="false">IFERROR(VLOOKUP(G231,CATEGORÍAS!$A$4:$C$100,2,FALSE()),"Por revisar")</f>
        <v>Gasto</v>
      </c>
      <c r="I231" s="27" t="str">
        <f aca="false">IFERROR(VLOOKUP(G231,CATEGORÍAS!$A$4:$C$100,3,FALSE()),"")</f>
        <v>Casa</v>
      </c>
      <c r="J231" s="49"/>
      <c r="K231" s="50" t="s">
        <v>400</v>
      </c>
    </row>
    <row r="232" customFormat="false" ht="15" hidden="false" customHeight="false" outlineLevel="0" collapsed="false">
      <c r="A232" s="46" t="n">
        <v>46087</v>
      </c>
      <c r="B232" s="47" t="n">
        <f aca="false">DATE(YEAR(A232),MONTH(A232),1)</f>
        <v>46082</v>
      </c>
      <c r="C232" s="5" t="s">
        <v>91</v>
      </c>
      <c r="D232" s="5" t="s">
        <v>164</v>
      </c>
      <c r="E232" s="48" t="n">
        <v>-14.95</v>
      </c>
      <c r="F232" s="48" t="n">
        <v>4484.31</v>
      </c>
      <c r="G232" s="49" t="s">
        <v>165</v>
      </c>
      <c r="H232" s="27" t="str">
        <f aca="false">IFERROR(VLOOKUP(G232,CATEGORÍAS!$A$4:$C$100,2,FALSE()),"Por revisar")</f>
        <v>Gasto</v>
      </c>
      <c r="I232" s="27" t="str">
        <f aca="false">IFERROR(VLOOKUP(G232,CATEGORÍAS!$A$4:$C$100,3,FALSE()),"")</f>
        <v>Personal</v>
      </c>
      <c r="J232" s="49"/>
      <c r="K232" s="50" t="s">
        <v>401</v>
      </c>
    </row>
    <row r="233" customFormat="false" ht="15" hidden="false" customHeight="false" outlineLevel="0" collapsed="false">
      <c r="A233" s="46" t="n">
        <v>46086</v>
      </c>
      <c r="B233" s="47" t="n">
        <f aca="false">DATE(YEAR(A233),MONTH(A233),1)</f>
        <v>46082</v>
      </c>
      <c r="C233" s="5" t="s">
        <v>120</v>
      </c>
      <c r="D233" s="5" t="s">
        <v>127</v>
      </c>
      <c r="E233" s="48" t="n">
        <v>-55.99</v>
      </c>
      <c r="F233" s="5"/>
      <c r="G233" s="49" t="s">
        <v>125</v>
      </c>
      <c r="H233" s="27" t="str">
        <f aca="false">IFERROR(VLOOKUP(G233,CATEGORÍAS!$A$4:$C$100,2,FALSE()),"Por revisar")</f>
        <v>Gasto</v>
      </c>
      <c r="I233" s="27" t="str">
        <f aca="false">IFERROR(VLOOKUP(G233,CATEGORÍAS!$A$4:$C$100,3,FALSE()),"")</f>
        <v>Comida</v>
      </c>
      <c r="J233" s="49"/>
      <c r="K233" s="50" t="s">
        <v>402</v>
      </c>
    </row>
    <row r="234" customFormat="false" ht="15" hidden="false" customHeight="false" outlineLevel="0" collapsed="false">
      <c r="A234" s="46" t="n">
        <v>46086</v>
      </c>
      <c r="B234" s="47" t="n">
        <f aca="false">DATE(YEAR(A234),MONTH(A234),1)</f>
        <v>46082</v>
      </c>
      <c r="C234" s="5" t="s">
        <v>120</v>
      </c>
      <c r="D234" s="5" t="s">
        <v>124</v>
      </c>
      <c r="E234" s="48" t="n">
        <v>-3.98</v>
      </c>
      <c r="F234" s="5"/>
      <c r="G234" s="49" t="s">
        <v>125</v>
      </c>
      <c r="H234" s="27" t="str">
        <f aca="false">IFERROR(VLOOKUP(G234,CATEGORÍAS!$A$4:$C$100,2,FALSE()),"Por revisar")</f>
        <v>Gasto</v>
      </c>
      <c r="I234" s="27" t="str">
        <f aca="false">IFERROR(VLOOKUP(G234,CATEGORÍAS!$A$4:$C$100,3,FALSE()),"")</f>
        <v>Comida</v>
      </c>
      <c r="J234" s="49"/>
      <c r="K234" s="50" t="s">
        <v>403</v>
      </c>
    </row>
    <row r="235" customFormat="false" ht="15" hidden="false" customHeight="false" outlineLevel="0" collapsed="false">
      <c r="A235" s="46" t="n">
        <v>46086</v>
      </c>
      <c r="B235" s="47" t="n">
        <f aca="false">DATE(YEAR(A235),MONTH(A235),1)</f>
        <v>46082</v>
      </c>
      <c r="C235" s="5" t="s">
        <v>91</v>
      </c>
      <c r="D235" s="5" t="s">
        <v>167</v>
      </c>
      <c r="E235" s="48" t="n">
        <v>-39.9</v>
      </c>
      <c r="F235" s="48" t="n">
        <v>4499.26</v>
      </c>
      <c r="G235" s="49" t="s">
        <v>168</v>
      </c>
      <c r="H235" s="27" t="str">
        <f aca="false">IFERROR(VLOOKUP(G235,CATEGORÍAS!$A$4:$C$100,2,FALSE()),"Por revisar")</f>
        <v>Gasto</v>
      </c>
      <c r="I235" s="27" t="str">
        <f aca="false">IFERROR(VLOOKUP(G235,CATEGORÍAS!$A$4:$C$100,3,FALSE()),"")</f>
        <v>Casa</v>
      </c>
      <c r="J235" s="49"/>
      <c r="K235" s="50" t="s">
        <v>404</v>
      </c>
    </row>
    <row r="236" customFormat="false" ht="15" hidden="false" customHeight="false" outlineLevel="0" collapsed="false">
      <c r="A236" s="46" t="n">
        <v>46086</v>
      </c>
      <c r="B236" s="47" t="n">
        <f aca="false">DATE(YEAR(A236),MONTH(A236),1)</f>
        <v>46082</v>
      </c>
      <c r="C236" s="5" t="s">
        <v>92</v>
      </c>
      <c r="D236" s="5" t="s">
        <v>170</v>
      </c>
      <c r="E236" s="48" t="n">
        <v>-434.82</v>
      </c>
      <c r="F236" s="48" t="n">
        <v>1154.26</v>
      </c>
      <c r="G236" s="49" t="s">
        <v>171</v>
      </c>
      <c r="H236" s="27" t="str">
        <f aca="false">IFERROR(VLOOKUP(G236,CATEGORÍAS!$A$4:$C$100,2,FALSE()),"Por revisar")</f>
        <v>Traspaso</v>
      </c>
      <c r="I236" s="27" t="str">
        <f aca="false">IFERROR(VLOOKUP(G236,CATEGORÍAS!$A$4:$C$100,3,FALSE()),"")</f>
        <v>Traspasos</v>
      </c>
      <c r="J236" s="49"/>
      <c r="K236" s="50" t="s">
        <v>405</v>
      </c>
    </row>
    <row r="237" customFormat="false" ht="15" hidden="false" customHeight="false" outlineLevel="0" collapsed="false">
      <c r="A237" s="46" t="n">
        <v>46085</v>
      </c>
      <c r="B237" s="47" t="n">
        <f aca="false">DATE(YEAR(A237),MONTH(A237),1)</f>
        <v>46082</v>
      </c>
      <c r="C237" s="5" t="s">
        <v>120</v>
      </c>
      <c r="D237" s="5" t="s">
        <v>144</v>
      </c>
      <c r="E237" s="48" t="n">
        <v>-26.43</v>
      </c>
      <c r="F237" s="5"/>
      <c r="G237" s="49" t="s">
        <v>122</v>
      </c>
      <c r="H237" s="27" t="str">
        <f aca="false">IFERROR(VLOOKUP(G237,CATEGORÍAS!$A$4:$C$100,2,FALSE()),"Por revisar")</f>
        <v>Gasto</v>
      </c>
      <c r="I237" s="27" t="str">
        <f aca="false">IFERROR(VLOOKUP(G237,CATEGORÍAS!$A$4:$C$100,3,FALSE()),"")</f>
        <v>Comida</v>
      </c>
      <c r="J237" s="49"/>
      <c r="K237" s="50" t="s">
        <v>406</v>
      </c>
    </row>
    <row r="238" customFormat="false" ht="15" hidden="false" customHeight="false" outlineLevel="0" collapsed="false">
      <c r="A238" s="46" t="n">
        <v>46084</v>
      </c>
      <c r="B238" s="47" t="n">
        <f aca="false">DATE(YEAR(A238),MONTH(A238),1)</f>
        <v>46082</v>
      </c>
      <c r="C238" s="5" t="s">
        <v>91</v>
      </c>
      <c r="D238" s="5" t="s">
        <v>177</v>
      </c>
      <c r="E238" s="48" t="n">
        <v>-150</v>
      </c>
      <c r="F238" s="48" t="n">
        <v>4539.16</v>
      </c>
      <c r="G238" s="49" t="s">
        <v>178</v>
      </c>
      <c r="H238" s="27" t="str">
        <f aca="false">IFERROR(VLOOKUP(G238,CATEGORÍAS!$A$4:$C$100,2,FALSE()),"Por revisar")</f>
        <v>Gasto</v>
      </c>
      <c r="I238" s="27" t="str">
        <f aca="false">IFERROR(VLOOKUP(G238,CATEGORÍAS!$A$4:$C$100,3,FALSE()),"")</f>
        <v>Viajes</v>
      </c>
      <c r="J238" s="49"/>
      <c r="K238" s="50" t="s">
        <v>407</v>
      </c>
    </row>
    <row r="239" customFormat="false" ht="15" hidden="false" customHeight="false" outlineLevel="0" collapsed="false">
      <c r="A239" s="46" t="n">
        <v>46083</v>
      </c>
      <c r="B239" s="47" t="n">
        <f aca="false">DATE(YEAR(A239),MONTH(A239),1)</f>
        <v>46082</v>
      </c>
      <c r="C239" s="5" t="s">
        <v>120</v>
      </c>
      <c r="D239" s="5" t="s">
        <v>144</v>
      </c>
      <c r="E239" s="48" t="n">
        <v>-24.54</v>
      </c>
      <c r="F239" s="5"/>
      <c r="G239" s="49" t="s">
        <v>122</v>
      </c>
      <c r="H239" s="27" t="str">
        <f aca="false">IFERROR(VLOOKUP(G239,CATEGORÍAS!$A$4:$C$100,2,FALSE()),"Por revisar")</f>
        <v>Gasto</v>
      </c>
      <c r="I239" s="27" t="str">
        <f aca="false">IFERROR(VLOOKUP(G239,CATEGORÍAS!$A$4:$C$100,3,FALSE()),"")</f>
        <v>Comida</v>
      </c>
      <c r="J239" s="49"/>
      <c r="K239" s="50" t="s">
        <v>408</v>
      </c>
    </row>
    <row r="240" customFormat="false" ht="15" hidden="false" customHeight="false" outlineLevel="0" collapsed="false">
      <c r="A240" s="46" t="n">
        <v>46083</v>
      </c>
      <c r="B240" s="47" t="n">
        <f aca="false">DATE(YEAR(A240),MONTH(A240),1)</f>
        <v>46082</v>
      </c>
      <c r="C240" s="5" t="s">
        <v>91</v>
      </c>
      <c r="D240" s="5" t="s">
        <v>180</v>
      </c>
      <c r="E240" s="48" t="n">
        <v>-300</v>
      </c>
      <c r="F240" s="48" t="n">
        <v>5169.16</v>
      </c>
      <c r="G240" s="49" t="s">
        <v>181</v>
      </c>
      <c r="H240" s="27" t="str">
        <f aca="false">IFERROR(VLOOKUP(G240,CATEGORÍAS!$A$4:$C$100,2,FALSE()),"Por revisar")</f>
        <v>Traspaso</v>
      </c>
      <c r="I240" s="27" t="str">
        <f aca="false">IFERROR(VLOOKUP(G240,CATEGORÍAS!$A$4:$C$100,3,FALSE()),"")</f>
        <v>Traspasos</v>
      </c>
      <c r="J240" s="49"/>
      <c r="K240" s="50" t="s">
        <v>409</v>
      </c>
    </row>
    <row r="241" customFormat="false" ht="15" hidden="false" customHeight="false" outlineLevel="0" collapsed="false">
      <c r="A241" s="46" t="n">
        <v>46083</v>
      </c>
      <c r="B241" s="47" t="n">
        <f aca="false">DATE(YEAR(A241),MONTH(A241),1)</f>
        <v>46082</v>
      </c>
      <c r="C241" s="5" t="s">
        <v>91</v>
      </c>
      <c r="D241" s="5" t="s">
        <v>183</v>
      </c>
      <c r="E241" s="48" t="n">
        <v>-480</v>
      </c>
      <c r="F241" s="48" t="n">
        <v>4689.16</v>
      </c>
      <c r="G241" s="49" t="s">
        <v>181</v>
      </c>
      <c r="H241" s="27" t="str">
        <f aca="false">IFERROR(VLOOKUP(G241,CATEGORÍAS!$A$4:$C$100,2,FALSE()),"Por revisar")</f>
        <v>Traspaso</v>
      </c>
      <c r="I241" s="27" t="str">
        <f aca="false">IFERROR(VLOOKUP(G241,CATEGORÍAS!$A$4:$C$100,3,FALSE()),"")</f>
        <v>Traspasos</v>
      </c>
      <c r="J241" s="49"/>
      <c r="K241" s="50" t="s">
        <v>410</v>
      </c>
    </row>
    <row r="242" customFormat="false" ht="15" hidden="false" customHeight="false" outlineLevel="0" collapsed="false">
      <c r="A242" s="46" t="n">
        <v>46083</v>
      </c>
      <c r="B242" s="47" t="n">
        <f aca="false">DATE(YEAR(A242),MONTH(A242),1)</f>
        <v>46082</v>
      </c>
      <c r="C242" s="5" t="s">
        <v>93</v>
      </c>
      <c r="D242" s="5" t="s">
        <v>185</v>
      </c>
      <c r="E242" s="48" t="n">
        <v>300</v>
      </c>
      <c r="F242" s="48" t="n">
        <v>53965.52</v>
      </c>
      <c r="G242" s="49" t="s">
        <v>181</v>
      </c>
      <c r="H242" s="27" t="str">
        <f aca="false">IFERROR(VLOOKUP(G242,CATEGORÍAS!$A$4:$C$100,2,FALSE()),"Por revisar")</f>
        <v>Traspaso</v>
      </c>
      <c r="I242" s="27" t="str">
        <f aca="false">IFERROR(VLOOKUP(G242,CATEGORÍAS!$A$4:$C$100,3,FALSE()),"")</f>
        <v>Traspasos</v>
      </c>
      <c r="J242" s="49"/>
      <c r="K242" s="50" t="s">
        <v>411</v>
      </c>
    </row>
    <row r="243" customFormat="false" ht="15" hidden="false" customHeight="false" outlineLevel="0" collapsed="false">
      <c r="A243" s="46" t="n">
        <v>46083</v>
      </c>
      <c r="B243" s="47" t="n">
        <f aca="false">DATE(YEAR(A243),MONTH(A243),1)</f>
        <v>46082</v>
      </c>
      <c r="C243" s="5" t="s">
        <v>92</v>
      </c>
      <c r="D243" s="5" t="s">
        <v>185</v>
      </c>
      <c r="E243" s="48" t="n">
        <v>480</v>
      </c>
      <c r="F243" s="48" t="n">
        <v>1589.08</v>
      </c>
      <c r="G243" s="49" t="s">
        <v>181</v>
      </c>
      <c r="H243" s="27" t="str">
        <f aca="false">IFERROR(VLOOKUP(G243,CATEGORÍAS!$A$4:$C$100,2,FALSE()),"Por revisar")</f>
        <v>Traspaso</v>
      </c>
      <c r="I243" s="27" t="str">
        <f aca="false">IFERROR(VLOOKUP(G243,CATEGORÍAS!$A$4:$C$100,3,FALSE()),"")</f>
        <v>Traspasos</v>
      </c>
      <c r="J243" s="49"/>
      <c r="K243" s="50" t="s">
        <v>412</v>
      </c>
    </row>
    <row r="244" customFormat="false" ht="15" hidden="false" customHeight="false" outlineLevel="0" collapsed="false">
      <c r="A244" s="46" t="n">
        <v>46082</v>
      </c>
      <c r="B244" s="47" t="n">
        <f aca="false">DATE(YEAR(A244),MONTH(A244),1)</f>
        <v>46082</v>
      </c>
      <c r="C244" s="5" t="s">
        <v>120</v>
      </c>
      <c r="D244" s="5" t="s">
        <v>173</v>
      </c>
      <c r="E244" s="48" t="n">
        <v>-14.65</v>
      </c>
      <c r="F244" s="5"/>
      <c r="G244" s="49" t="s">
        <v>174</v>
      </c>
      <c r="H244" s="27" t="str">
        <f aca="false">IFERROR(VLOOKUP(G244,CATEGORÍAS!$A$4:$C$100,2,FALSE()),"Por revisar")</f>
        <v>Gasto</v>
      </c>
      <c r="I244" s="27" t="str">
        <f aca="false">IFERROR(VLOOKUP(G244,CATEGORÍAS!$A$4:$C$100,3,FALSE()),"")</f>
        <v>Ocio</v>
      </c>
      <c r="J244" s="49"/>
      <c r="K244" s="50" t="s">
        <v>413</v>
      </c>
    </row>
    <row r="245" customFormat="false" ht="15" hidden="false" customHeight="false" outlineLevel="0" collapsed="false">
      <c r="A245" s="46" t="n">
        <v>46082</v>
      </c>
      <c r="B245" s="47" t="n">
        <f aca="false">DATE(YEAR(A245),MONTH(A245),1)</f>
        <v>46082</v>
      </c>
      <c r="C245" s="5" t="s">
        <v>91</v>
      </c>
      <c r="D245" s="5" t="s">
        <v>414</v>
      </c>
      <c r="E245" s="48" t="n">
        <v>-850</v>
      </c>
      <c r="F245" s="48" t="n">
        <v>5469.16</v>
      </c>
      <c r="G245" s="49" t="s">
        <v>189</v>
      </c>
      <c r="H245" s="27" t="str">
        <f aca="false">IFERROR(VLOOKUP(G245,CATEGORÍAS!$A$4:$C$100,2,FALSE()),"Por revisar")</f>
        <v>Gasto</v>
      </c>
      <c r="I245" s="27" t="str">
        <f aca="false">IFERROR(VLOOKUP(G245,CATEGORÍAS!$A$4:$C$100,3,FALSE()),"")</f>
        <v>Casa</v>
      </c>
      <c r="J245" s="49"/>
      <c r="K245" s="50" t="s">
        <v>415</v>
      </c>
    </row>
    <row r="246" customFormat="false" ht="15" hidden="false" customHeight="false" outlineLevel="0" collapsed="false">
      <c r="A246" s="46" t="n">
        <v>46081</v>
      </c>
      <c r="B246" s="47" t="n">
        <f aca="false">DATE(YEAR(A246),MONTH(A246),1)</f>
        <v>46054</v>
      </c>
      <c r="C246" s="5" t="s">
        <v>120</v>
      </c>
      <c r="D246" s="5" t="s">
        <v>124</v>
      </c>
      <c r="E246" s="48" t="n">
        <v>-8.34</v>
      </c>
      <c r="F246" s="5"/>
      <c r="G246" s="49" t="s">
        <v>125</v>
      </c>
      <c r="H246" s="27" t="str">
        <f aca="false">IFERROR(VLOOKUP(G246,CATEGORÍAS!$A$4:$C$100,2,FALSE()),"Por revisar")</f>
        <v>Gasto</v>
      </c>
      <c r="I246" s="27" t="str">
        <f aca="false">IFERROR(VLOOKUP(G246,CATEGORÍAS!$A$4:$C$100,3,FALSE()),"")</f>
        <v>Comida</v>
      </c>
      <c r="J246" s="49"/>
      <c r="K246" s="50" t="s">
        <v>416</v>
      </c>
    </row>
    <row r="247" customFormat="false" ht="15" hidden="false" customHeight="false" outlineLevel="0" collapsed="false">
      <c r="A247" s="46" t="n">
        <v>46081</v>
      </c>
      <c r="B247" s="47" t="n">
        <f aca="false">DATE(YEAR(A247),MONTH(A247),1)</f>
        <v>46054</v>
      </c>
      <c r="C247" s="5" t="s">
        <v>91</v>
      </c>
      <c r="D247" s="5" t="s">
        <v>117</v>
      </c>
      <c r="E247" s="48" t="n">
        <v>2150</v>
      </c>
      <c r="F247" s="48" t="n">
        <v>6319.16</v>
      </c>
      <c r="G247" s="49" t="s">
        <v>118</v>
      </c>
      <c r="H247" s="27" t="str">
        <f aca="false">IFERROR(VLOOKUP(G247,CATEGORÍAS!$A$4:$C$100,2,FALSE()),"Por revisar")</f>
        <v>Ingreso</v>
      </c>
      <c r="I247" s="27" t="str">
        <f aca="false">IFERROR(VLOOKUP(G247,CATEGORÍAS!$A$4:$C$100,3,FALSE()),"")</f>
        <v>Trabajo</v>
      </c>
      <c r="J247" s="49"/>
      <c r="K247" s="50" t="s">
        <v>417</v>
      </c>
    </row>
    <row r="248" customFormat="false" ht="15" hidden="false" customHeight="false" outlineLevel="0" collapsed="false">
      <c r="A248" s="46" t="n">
        <v>46081</v>
      </c>
      <c r="B248" s="47" t="n">
        <f aca="false">DATE(YEAR(A248),MONTH(A248),1)</f>
        <v>46054</v>
      </c>
      <c r="C248" s="5" t="s">
        <v>93</v>
      </c>
      <c r="D248" s="5" t="s">
        <v>114</v>
      </c>
      <c r="E248" s="48" t="n">
        <v>33.52</v>
      </c>
      <c r="F248" s="48" t="n">
        <v>53665.52</v>
      </c>
      <c r="G248" s="49" t="s">
        <v>115</v>
      </c>
      <c r="H248" s="27" t="str">
        <f aca="false">IFERROR(VLOOKUP(G248,CATEGORÍAS!$A$4:$C$100,2,FALSE()),"Por revisar")</f>
        <v>Ingreso</v>
      </c>
      <c r="I248" s="27" t="str">
        <f aca="false">IFERROR(VLOOKUP(G248,CATEGORÍAS!$A$4:$C$100,3,FALSE()),"")</f>
        <v>Ahorro</v>
      </c>
      <c r="J248" s="49"/>
      <c r="K248" s="50" t="s">
        <v>418</v>
      </c>
    </row>
    <row r="249" customFormat="false" ht="15" hidden="false" customHeight="false" outlineLevel="0" collapsed="false">
      <c r="A249" s="46" t="n">
        <v>46079</v>
      </c>
      <c r="B249" s="47" t="n">
        <f aca="false">DATE(YEAR(A249),MONTH(A249),1)</f>
        <v>46054</v>
      </c>
      <c r="C249" s="5" t="s">
        <v>120</v>
      </c>
      <c r="D249" s="5" t="s">
        <v>144</v>
      </c>
      <c r="E249" s="48" t="n">
        <v>-27.65</v>
      </c>
      <c r="F249" s="5"/>
      <c r="G249" s="49" t="s">
        <v>122</v>
      </c>
      <c r="H249" s="27" t="str">
        <f aca="false">IFERROR(VLOOKUP(G249,CATEGORÍAS!$A$4:$C$100,2,FALSE()),"Por revisar")</f>
        <v>Gasto</v>
      </c>
      <c r="I249" s="27" t="str">
        <f aca="false">IFERROR(VLOOKUP(G249,CATEGORÍAS!$A$4:$C$100,3,FALSE()),"")</f>
        <v>Comida</v>
      </c>
      <c r="J249" s="49"/>
      <c r="K249" s="50" t="s">
        <v>419</v>
      </c>
    </row>
    <row r="250" customFormat="false" ht="15" hidden="false" customHeight="false" outlineLevel="0" collapsed="false">
      <c r="A250" s="46" t="n">
        <v>46077</v>
      </c>
      <c r="B250" s="47" t="n">
        <f aca="false">DATE(YEAR(A250),MONTH(A250),1)</f>
        <v>46054</v>
      </c>
      <c r="C250" s="5" t="s">
        <v>91</v>
      </c>
      <c r="D250" s="5" t="s">
        <v>200</v>
      </c>
      <c r="E250" s="48" t="n">
        <v>33</v>
      </c>
      <c r="F250" s="48" t="n">
        <v>4169.16</v>
      </c>
      <c r="G250" s="49" t="s">
        <v>201</v>
      </c>
      <c r="H250" s="27" t="str">
        <f aca="false">IFERROR(VLOOKUP(G250,CATEGORÍAS!$A$4:$C$100,2,FALSE()),"Por revisar")</f>
        <v>Gasto</v>
      </c>
      <c r="I250" s="27" t="str">
        <f aca="false">IFERROR(VLOOKUP(G250,CATEGORÍAS!$A$4:$C$100,3,FALSE()),"")</f>
        <v>Comida</v>
      </c>
      <c r="J250" s="49"/>
      <c r="K250" s="50" t="s">
        <v>420</v>
      </c>
    </row>
    <row r="251" customFormat="false" ht="15" hidden="false" customHeight="false" outlineLevel="0" collapsed="false">
      <c r="A251" s="46" t="n">
        <v>46075</v>
      </c>
      <c r="B251" s="47" t="n">
        <f aca="false">DATE(YEAR(A251),MONTH(A251),1)</f>
        <v>46054</v>
      </c>
      <c r="C251" s="5" t="s">
        <v>120</v>
      </c>
      <c r="D251" s="5" t="s">
        <v>124</v>
      </c>
      <c r="E251" s="48" t="n">
        <v>-6.15</v>
      </c>
      <c r="F251" s="5"/>
      <c r="G251" s="49" t="s">
        <v>125</v>
      </c>
      <c r="H251" s="27" t="str">
        <f aca="false">IFERROR(VLOOKUP(G251,CATEGORÍAS!$A$4:$C$100,2,FALSE()),"Por revisar")</f>
        <v>Gasto</v>
      </c>
      <c r="I251" s="27" t="str">
        <f aca="false">IFERROR(VLOOKUP(G251,CATEGORÍAS!$A$4:$C$100,3,FALSE()),"")</f>
        <v>Comida</v>
      </c>
      <c r="J251" s="49"/>
      <c r="K251" s="50" t="s">
        <v>421</v>
      </c>
    </row>
    <row r="252" customFormat="false" ht="15" hidden="false" customHeight="false" outlineLevel="0" collapsed="false">
      <c r="A252" s="46" t="n">
        <v>46075</v>
      </c>
      <c r="B252" s="47" t="n">
        <f aca="false">DATE(YEAR(A252),MONTH(A252),1)</f>
        <v>46054</v>
      </c>
      <c r="C252" s="5" t="s">
        <v>120</v>
      </c>
      <c r="D252" s="5" t="s">
        <v>144</v>
      </c>
      <c r="E252" s="48" t="n">
        <v>-21.14</v>
      </c>
      <c r="F252" s="5"/>
      <c r="G252" s="49" t="s">
        <v>122</v>
      </c>
      <c r="H252" s="27" t="str">
        <f aca="false">IFERROR(VLOOKUP(G252,CATEGORÍAS!$A$4:$C$100,2,FALSE()),"Por revisar")</f>
        <v>Gasto</v>
      </c>
      <c r="I252" s="27" t="str">
        <f aca="false">IFERROR(VLOOKUP(G252,CATEGORÍAS!$A$4:$C$100,3,FALSE()),"")</f>
        <v>Comida</v>
      </c>
      <c r="J252" s="49"/>
      <c r="K252" s="50" t="s">
        <v>422</v>
      </c>
    </row>
    <row r="253" customFormat="false" ht="15" hidden="false" customHeight="false" outlineLevel="0" collapsed="false">
      <c r="A253" s="46" t="n">
        <v>46074</v>
      </c>
      <c r="B253" s="47" t="n">
        <f aca="false">DATE(YEAR(A253),MONTH(A253),1)</f>
        <v>46054</v>
      </c>
      <c r="C253" s="5" t="s">
        <v>120</v>
      </c>
      <c r="D253" s="5" t="s">
        <v>127</v>
      </c>
      <c r="E253" s="48" t="n">
        <v>-47.71</v>
      </c>
      <c r="F253" s="5"/>
      <c r="G253" s="49" t="s">
        <v>125</v>
      </c>
      <c r="H253" s="27" t="str">
        <f aca="false">IFERROR(VLOOKUP(G253,CATEGORÍAS!$A$4:$C$100,2,FALSE()),"Por revisar")</f>
        <v>Gasto</v>
      </c>
      <c r="I253" s="27" t="str">
        <f aca="false">IFERROR(VLOOKUP(G253,CATEGORÍAS!$A$4:$C$100,3,FALSE()),"")</f>
        <v>Comida</v>
      </c>
      <c r="J253" s="49"/>
      <c r="K253" s="50" t="s">
        <v>423</v>
      </c>
    </row>
    <row r="254" customFormat="false" ht="15" hidden="false" customHeight="false" outlineLevel="0" collapsed="false">
      <c r="A254" s="46" t="n">
        <v>46071</v>
      </c>
      <c r="B254" s="47" t="n">
        <f aca="false">DATE(YEAR(A254),MONTH(A254),1)</f>
        <v>46054</v>
      </c>
      <c r="C254" s="5" t="s">
        <v>120</v>
      </c>
      <c r="D254" s="5" t="s">
        <v>144</v>
      </c>
      <c r="E254" s="48" t="n">
        <v>-24.9</v>
      </c>
      <c r="F254" s="5"/>
      <c r="G254" s="49" t="s">
        <v>122</v>
      </c>
      <c r="H254" s="27" t="str">
        <f aca="false">IFERROR(VLOOKUP(G254,CATEGORÍAS!$A$4:$C$100,2,FALSE()),"Por revisar")</f>
        <v>Gasto</v>
      </c>
      <c r="I254" s="27" t="str">
        <f aca="false">IFERROR(VLOOKUP(G254,CATEGORÍAS!$A$4:$C$100,3,FALSE()),"")</f>
        <v>Comida</v>
      </c>
      <c r="J254" s="49"/>
      <c r="K254" s="50" t="s">
        <v>424</v>
      </c>
    </row>
    <row r="255" customFormat="false" ht="15" hidden="false" customHeight="false" outlineLevel="0" collapsed="false">
      <c r="A255" s="46" t="n">
        <v>46070</v>
      </c>
      <c r="B255" s="47" t="n">
        <f aca="false">DATE(YEAR(A255),MONTH(A255),1)</f>
        <v>46054</v>
      </c>
      <c r="C255" s="5" t="s">
        <v>120</v>
      </c>
      <c r="D255" s="5" t="s">
        <v>121</v>
      </c>
      <c r="E255" s="48" t="n">
        <v>-12.39</v>
      </c>
      <c r="F255" s="5"/>
      <c r="G255" s="49" t="s">
        <v>122</v>
      </c>
      <c r="H255" s="27" t="str">
        <f aca="false">IFERROR(VLOOKUP(G255,CATEGORÍAS!$A$4:$C$100,2,FALSE()),"Por revisar")</f>
        <v>Gasto</v>
      </c>
      <c r="I255" s="27" t="str">
        <f aca="false">IFERROR(VLOOKUP(G255,CATEGORÍAS!$A$4:$C$100,3,FALSE()),"")</f>
        <v>Comida</v>
      </c>
      <c r="J255" s="49"/>
      <c r="K255" s="50" t="s">
        <v>425</v>
      </c>
    </row>
    <row r="256" customFormat="false" ht="15" hidden="false" customHeight="false" outlineLevel="0" collapsed="false">
      <c r="A256" s="46" t="n">
        <v>46067</v>
      </c>
      <c r="B256" s="47" t="n">
        <f aca="false">DATE(YEAR(A256),MONTH(A256),1)</f>
        <v>46054</v>
      </c>
      <c r="C256" s="5" t="s">
        <v>120</v>
      </c>
      <c r="D256" s="5" t="s">
        <v>146</v>
      </c>
      <c r="E256" s="48" t="n">
        <v>-54.58</v>
      </c>
      <c r="F256" s="5"/>
      <c r="G256" s="49" t="s">
        <v>130</v>
      </c>
      <c r="H256" s="27" t="str">
        <f aca="false">IFERROR(VLOOKUP(G256,CATEGORÍAS!$A$4:$C$100,2,FALSE()),"Por revisar")</f>
        <v>Gasto</v>
      </c>
      <c r="I256" s="27" t="str">
        <f aca="false">IFERROR(VLOOKUP(G256,CATEGORÍAS!$A$4:$C$100,3,FALSE()),"")</f>
        <v>Transporte</v>
      </c>
      <c r="J256" s="49"/>
      <c r="K256" s="50" t="s">
        <v>426</v>
      </c>
    </row>
    <row r="257" customFormat="false" ht="15" hidden="false" customHeight="false" outlineLevel="0" collapsed="false">
      <c r="A257" s="46" t="n">
        <v>46067</v>
      </c>
      <c r="B257" s="47" t="n">
        <f aca="false">DATE(YEAR(A257),MONTH(A257),1)</f>
        <v>46054</v>
      </c>
      <c r="C257" s="5" t="s">
        <v>120</v>
      </c>
      <c r="D257" s="5" t="s">
        <v>124</v>
      </c>
      <c r="E257" s="48" t="n">
        <v>-8.78</v>
      </c>
      <c r="F257" s="5"/>
      <c r="G257" s="49" t="s">
        <v>125</v>
      </c>
      <c r="H257" s="27" t="str">
        <f aca="false">IFERROR(VLOOKUP(G257,CATEGORÍAS!$A$4:$C$100,2,FALSE()),"Por revisar")</f>
        <v>Gasto</v>
      </c>
      <c r="I257" s="27" t="str">
        <f aca="false">IFERROR(VLOOKUP(G257,CATEGORÍAS!$A$4:$C$100,3,FALSE()),"")</f>
        <v>Comida</v>
      </c>
      <c r="J257" s="49"/>
      <c r="K257" s="50" t="s">
        <v>427</v>
      </c>
    </row>
    <row r="258" customFormat="false" ht="15" hidden="false" customHeight="false" outlineLevel="0" collapsed="false">
      <c r="A258" s="46" t="n">
        <v>46066</v>
      </c>
      <c r="B258" s="47" t="n">
        <f aca="false">DATE(YEAR(A258),MONTH(A258),1)</f>
        <v>46054</v>
      </c>
      <c r="C258" s="5" t="s">
        <v>120</v>
      </c>
      <c r="D258" s="5" t="s">
        <v>135</v>
      </c>
      <c r="E258" s="48" t="n">
        <v>-26.01</v>
      </c>
      <c r="F258" s="5"/>
      <c r="G258" s="49" t="s">
        <v>136</v>
      </c>
      <c r="H258" s="27" t="str">
        <f aca="false">IFERROR(VLOOKUP(G258,CATEGORÍAS!$A$4:$C$100,2,FALSE()),"Por revisar")</f>
        <v>Gasto</v>
      </c>
      <c r="I258" s="27" t="str">
        <f aca="false">IFERROR(VLOOKUP(G258,CATEGORÍAS!$A$4:$C$100,3,FALSE()),"")</f>
        <v>Personal</v>
      </c>
      <c r="J258" s="49"/>
      <c r="K258" s="50" t="s">
        <v>428</v>
      </c>
    </row>
    <row r="259" customFormat="false" ht="15" hidden="false" customHeight="false" outlineLevel="0" collapsed="false">
      <c r="A259" s="46" t="n">
        <v>46065</v>
      </c>
      <c r="B259" s="47" t="n">
        <f aca="false">DATE(YEAR(A259),MONTH(A259),1)</f>
        <v>46054</v>
      </c>
      <c r="C259" s="5" t="s">
        <v>120</v>
      </c>
      <c r="D259" s="5" t="s">
        <v>159</v>
      </c>
      <c r="E259" s="48" t="n">
        <v>-24.95</v>
      </c>
      <c r="F259" s="5"/>
      <c r="G259" s="49" t="s">
        <v>160</v>
      </c>
      <c r="H259" s="27" t="str">
        <f aca="false">IFERROR(VLOOKUP(G259,CATEGORÍAS!$A$4:$C$100,2,FALSE()),"Por revisar")</f>
        <v>Gasto</v>
      </c>
      <c r="I259" s="27" t="str">
        <f aca="false">IFERROR(VLOOKUP(G259,CATEGORÍAS!$A$4:$C$100,3,FALSE()),"")</f>
        <v>Salud</v>
      </c>
      <c r="J259" s="49"/>
      <c r="K259" s="50" t="s">
        <v>429</v>
      </c>
    </row>
    <row r="260" customFormat="false" ht="15" hidden="false" customHeight="false" outlineLevel="0" collapsed="false">
      <c r="A260" s="46" t="n">
        <v>46065</v>
      </c>
      <c r="B260" s="47" t="n">
        <f aca="false">DATE(YEAR(A260),MONTH(A260),1)</f>
        <v>46054</v>
      </c>
      <c r="C260" s="5" t="s">
        <v>91</v>
      </c>
      <c r="D260" s="5" t="s">
        <v>209</v>
      </c>
      <c r="E260" s="48" t="n">
        <v>-37.59</v>
      </c>
      <c r="F260" s="48" t="n">
        <v>4136.16</v>
      </c>
      <c r="G260" s="49" t="s">
        <v>210</v>
      </c>
      <c r="H260" s="27" t="str">
        <f aca="false">IFERROR(VLOOKUP(G260,CATEGORÍAS!$A$4:$C$100,2,FALSE()),"Por revisar")</f>
        <v>Gasto</v>
      </c>
      <c r="I260" s="27" t="str">
        <f aca="false">IFERROR(VLOOKUP(G260,CATEGORÍAS!$A$4:$C$100,3,FALSE()),"")</f>
        <v>Casa</v>
      </c>
      <c r="J260" s="49"/>
      <c r="K260" s="50" t="s">
        <v>430</v>
      </c>
    </row>
    <row r="261" customFormat="false" ht="15" hidden="false" customHeight="false" outlineLevel="0" collapsed="false">
      <c r="A261" s="46" t="n">
        <v>46064</v>
      </c>
      <c r="B261" s="47" t="n">
        <f aca="false">DATE(YEAR(A261),MONTH(A261),1)</f>
        <v>46054</v>
      </c>
      <c r="C261" s="5" t="s">
        <v>120</v>
      </c>
      <c r="D261" s="5" t="s">
        <v>127</v>
      </c>
      <c r="E261" s="48" t="n">
        <v>-50.07</v>
      </c>
      <c r="F261" s="5"/>
      <c r="G261" s="49" t="s">
        <v>125</v>
      </c>
      <c r="H261" s="27" t="str">
        <f aca="false">IFERROR(VLOOKUP(G261,CATEGORÍAS!$A$4:$C$100,2,FALSE()),"Por revisar")</f>
        <v>Gasto</v>
      </c>
      <c r="I261" s="27" t="str">
        <f aca="false">IFERROR(VLOOKUP(G261,CATEGORÍAS!$A$4:$C$100,3,FALSE()),"")</f>
        <v>Comida</v>
      </c>
      <c r="J261" s="49"/>
      <c r="K261" s="50" t="s">
        <v>431</v>
      </c>
    </row>
    <row r="262" customFormat="false" ht="15" hidden="false" customHeight="false" outlineLevel="0" collapsed="false">
      <c r="A262" s="46" t="n">
        <v>46064</v>
      </c>
      <c r="B262" s="47" t="n">
        <f aca="false">DATE(YEAR(A262),MONTH(A262),1)</f>
        <v>46054</v>
      </c>
      <c r="C262" s="5" t="s">
        <v>120</v>
      </c>
      <c r="D262" s="5" t="s">
        <v>129</v>
      </c>
      <c r="E262" s="48" t="n">
        <v>-20</v>
      </c>
      <c r="F262" s="5"/>
      <c r="G262" s="49" t="s">
        <v>130</v>
      </c>
      <c r="H262" s="27" t="str">
        <f aca="false">IFERROR(VLOOKUP(G262,CATEGORÍAS!$A$4:$C$100,2,FALSE()),"Por revisar")</f>
        <v>Gasto</v>
      </c>
      <c r="I262" s="27" t="str">
        <f aca="false">IFERROR(VLOOKUP(G262,CATEGORÍAS!$A$4:$C$100,3,FALSE()),"")</f>
        <v>Transporte</v>
      </c>
      <c r="J262" s="49"/>
      <c r="K262" s="50" t="s">
        <v>432</v>
      </c>
    </row>
    <row r="263" customFormat="false" ht="15" hidden="false" customHeight="false" outlineLevel="0" collapsed="false">
      <c r="A263" s="46" t="n">
        <v>46064</v>
      </c>
      <c r="B263" s="47" t="n">
        <f aca="false">DATE(YEAR(A263),MONTH(A263),1)</f>
        <v>46054</v>
      </c>
      <c r="C263" s="5" t="s">
        <v>91</v>
      </c>
      <c r="D263" s="5" t="s">
        <v>200</v>
      </c>
      <c r="E263" s="48" t="n">
        <v>-30</v>
      </c>
      <c r="F263" s="48" t="n">
        <v>4173.75</v>
      </c>
      <c r="G263" s="49" t="s">
        <v>201</v>
      </c>
      <c r="H263" s="27" t="str">
        <f aca="false">IFERROR(VLOOKUP(G263,CATEGORÍAS!$A$4:$C$100,2,FALSE()),"Por revisar")</f>
        <v>Gasto</v>
      </c>
      <c r="I263" s="27" t="str">
        <f aca="false">IFERROR(VLOOKUP(G263,CATEGORÍAS!$A$4:$C$100,3,FALSE()),"")</f>
        <v>Comida</v>
      </c>
      <c r="J263" s="49"/>
      <c r="K263" s="50" t="s">
        <v>433</v>
      </c>
    </row>
    <row r="264" customFormat="false" ht="15" hidden="false" customHeight="false" outlineLevel="0" collapsed="false">
      <c r="A264" s="46" t="n">
        <v>46062</v>
      </c>
      <c r="B264" s="47" t="n">
        <f aca="false">DATE(YEAR(A264),MONTH(A264),1)</f>
        <v>46054</v>
      </c>
      <c r="C264" s="5" t="s">
        <v>120</v>
      </c>
      <c r="D264" s="5" t="s">
        <v>124</v>
      </c>
      <c r="E264" s="48" t="n">
        <v>-4.16</v>
      </c>
      <c r="F264" s="5"/>
      <c r="G264" s="49" t="s">
        <v>125</v>
      </c>
      <c r="H264" s="27" t="str">
        <f aca="false">IFERROR(VLOOKUP(G264,CATEGORÍAS!$A$4:$C$100,2,FALSE()),"Por revisar")</f>
        <v>Gasto</v>
      </c>
      <c r="I264" s="27" t="str">
        <f aca="false">IFERROR(VLOOKUP(G264,CATEGORÍAS!$A$4:$C$100,3,FALSE()),"")</f>
        <v>Comida</v>
      </c>
      <c r="J264" s="49"/>
      <c r="K264" s="50" t="s">
        <v>434</v>
      </c>
    </row>
    <row r="265" customFormat="false" ht="15" hidden="false" customHeight="false" outlineLevel="0" collapsed="false">
      <c r="A265" s="46" t="n">
        <v>46062</v>
      </c>
      <c r="B265" s="47" t="n">
        <f aca="false">DATE(YEAR(A265),MONTH(A265),1)</f>
        <v>46054</v>
      </c>
      <c r="C265" s="5" t="s">
        <v>91</v>
      </c>
      <c r="D265" s="5" t="s">
        <v>153</v>
      </c>
      <c r="E265" s="48" t="n">
        <v>-12.99</v>
      </c>
      <c r="F265" s="48" t="n">
        <v>4203.75</v>
      </c>
      <c r="G265" s="49" t="s">
        <v>154</v>
      </c>
      <c r="H265" s="27" t="str">
        <f aca="false">IFERROR(VLOOKUP(G265,CATEGORÍAS!$A$4:$C$100,2,FALSE()),"Por revisar")</f>
        <v>Gasto</v>
      </c>
      <c r="I265" s="27" t="str">
        <f aca="false">IFERROR(VLOOKUP(G265,CATEGORÍAS!$A$4:$C$100,3,FALSE()),"")</f>
        <v>Personal</v>
      </c>
      <c r="J265" s="49"/>
      <c r="K265" s="50" t="s">
        <v>435</v>
      </c>
    </row>
    <row r="266" customFormat="false" ht="15" hidden="false" customHeight="false" outlineLevel="0" collapsed="false">
      <c r="A266" s="46" t="n">
        <v>46061</v>
      </c>
      <c r="B266" s="47" t="n">
        <f aca="false">DATE(YEAR(A266),MONTH(A266),1)</f>
        <v>46054</v>
      </c>
      <c r="C266" s="5" t="s">
        <v>120</v>
      </c>
      <c r="D266" s="5" t="s">
        <v>124</v>
      </c>
      <c r="E266" s="48" t="n">
        <v>-2.65</v>
      </c>
      <c r="F266" s="5"/>
      <c r="G266" s="49" t="s">
        <v>125</v>
      </c>
      <c r="H266" s="27" t="str">
        <f aca="false">IFERROR(VLOOKUP(G266,CATEGORÍAS!$A$4:$C$100,2,FALSE()),"Por revisar")</f>
        <v>Gasto</v>
      </c>
      <c r="I266" s="27" t="str">
        <f aca="false">IFERROR(VLOOKUP(G266,CATEGORÍAS!$A$4:$C$100,3,FALSE()),"")</f>
        <v>Comida</v>
      </c>
      <c r="J266" s="49"/>
      <c r="K266" s="50" t="s">
        <v>436</v>
      </c>
    </row>
    <row r="267" customFormat="false" ht="15" hidden="false" customHeight="false" outlineLevel="0" collapsed="false">
      <c r="A267" s="46" t="n">
        <v>46061</v>
      </c>
      <c r="B267" s="47" t="n">
        <f aca="false">DATE(YEAR(A267),MONTH(A267),1)</f>
        <v>46054</v>
      </c>
      <c r="C267" s="5" t="s">
        <v>91</v>
      </c>
      <c r="D267" s="5" t="s">
        <v>156</v>
      </c>
      <c r="E267" s="48" t="n">
        <v>-49.8</v>
      </c>
      <c r="F267" s="48" t="n">
        <v>4216.74</v>
      </c>
      <c r="G267" s="49" t="s">
        <v>157</v>
      </c>
      <c r="H267" s="27" t="str">
        <f aca="false">IFERROR(VLOOKUP(G267,CATEGORÍAS!$A$4:$C$100,2,FALSE()),"Por revisar")</f>
        <v>Gasto</v>
      </c>
      <c r="I267" s="27" t="str">
        <f aca="false">IFERROR(VLOOKUP(G267,CATEGORÍAS!$A$4:$C$100,3,FALSE()),"")</f>
        <v>Casa</v>
      </c>
      <c r="J267" s="49"/>
      <c r="K267" s="50" t="s">
        <v>437</v>
      </c>
    </row>
    <row r="268" customFormat="false" ht="15" hidden="false" customHeight="false" outlineLevel="0" collapsed="false">
      <c r="A268" s="46" t="n">
        <v>46059</v>
      </c>
      <c r="B268" s="47" t="n">
        <f aca="false">DATE(YEAR(A268),MONTH(A268),1)</f>
        <v>46054</v>
      </c>
      <c r="C268" s="5" t="s">
        <v>91</v>
      </c>
      <c r="D268" s="5" t="s">
        <v>164</v>
      </c>
      <c r="E268" s="48" t="n">
        <v>-14.95</v>
      </c>
      <c r="F268" s="48" t="n">
        <v>4266.54</v>
      </c>
      <c r="G268" s="49" t="s">
        <v>165</v>
      </c>
      <c r="H268" s="27" t="str">
        <f aca="false">IFERROR(VLOOKUP(G268,CATEGORÍAS!$A$4:$C$100,2,FALSE()),"Por revisar")</f>
        <v>Gasto</v>
      </c>
      <c r="I268" s="27" t="str">
        <f aca="false">IFERROR(VLOOKUP(G268,CATEGORÍAS!$A$4:$C$100,3,FALSE()),"")</f>
        <v>Personal</v>
      </c>
      <c r="J268" s="49"/>
      <c r="K268" s="50" t="s">
        <v>438</v>
      </c>
    </row>
    <row r="269" customFormat="false" ht="15" hidden="false" customHeight="false" outlineLevel="0" collapsed="false">
      <c r="A269" s="46" t="n">
        <v>46058</v>
      </c>
      <c r="B269" s="47" t="n">
        <f aca="false">DATE(YEAR(A269),MONTH(A269),1)</f>
        <v>46054</v>
      </c>
      <c r="C269" s="5" t="s">
        <v>91</v>
      </c>
      <c r="D269" s="5" t="s">
        <v>167</v>
      </c>
      <c r="E269" s="48" t="n">
        <v>-39.9</v>
      </c>
      <c r="F269" s="48" t="n">
        <v>4281.49</v>
      </c>
      <c r="G269" s="49" t="s">
        <v>168</v>
      </c>
      <c r="H269" s="27" t="str">
        <f aca="false">IFERROR(VLOOKUP(G269,CATEGORÍAS!$A$4:$C$100,2,FALSE()),"Por revisar")</f>
        <v>Gasto</v>
      </c>
      <c r="I269" s="27" t="str">
        <f aca="false">IFERROR(VLOOKUP(G269,CATEGORÍAS!$A$4:$C$100,3,FALSE()),"")</f>
        <v>Casa</v>
      </c>
      <c r="J269" s="49"/>
      <c r="K269" s="50" t="s">
        <v>439</v>
      </c>
    </row>
    <row r="270" customFormat="false" ht="15" hidden="false" customHeight="false" outlineLevel="0" collapsed="false">
      <c r="A270" s="46" t="n">
        <v>46058</v>
      </c>
      <c r="B270" s="47" t="n">
        <f aca="false">DATE(YEAR(A270),MONTH(A270),1)</f>
        <v>46054</v>
      </c>
      <c r="C270" s="5" t="s">
        <v>92</v>
      </c>
      <c r="D270" s="5" t="s">
        <v>170</v>
      </c>
      <c r="E270" s="48" t="n">
        <v>-514.6</v>
      </c>
      <c r="F270" s="48" t="n">
        <v>1109.08</v>
      </c>
      <c r="G270" s="49" t="s">
        <v>171</v>
      </c>
      <c r="H270" s="27" t="str">
        <f aca="false">IFERROR(VLOOKUP(G270,CATEGORÍAS!$A$4:$C$100,2,FALSE()),"Por revisar")</f>
        <v>Traspaso</v>
      </c>
      <c r="I270" s="27" t="str">
        <f aca="false">IFERROR(VLOOKUP(G270,CATEGORÍAS!$A$4:$C$100,3,FALSE()),"")</f>
        <v>Traspasos</v>
      </c>
      <c r="J270" s="49"/>
      <c r="K270" s="50" t="s">
        <v>440</v>
      </c>
    </row>
    <row r="271" customFormat="false" ht="15" hidden="false" customHeight="false" outlineLevel="0" collapsed="false">
      <c r="A271" s="46" t="n">
        <v>46057</v>
      </c>
      <c r="B271" s="47" t="n">
        <f aca="false">DATE(YEAR(A271),MONTH(A271),1)</f>
        <v>46054</v>
      </c>
      <c r="C271" s="5" t="s">
        <v>120</v>
      </c>
      <c r="D271" s="5" t="s">
        <v>144</v>
      </c>
      <c r="E271" s="48" t="n">
        <v>-67.65</v>
      </c>
      <c r="F271" s="5"/>
      <c r="G271" s="49" t="s">
        <v>122</v>
      </c>
      <c r="H271" s="27" t="str">
        <f aca="false">IFERROR(VLOOKUP(G271,CATEGORÍAS!$A$4:$C$100,2,FALSE()),"Por revisar")</f>
        <v>Gasto</v>
      </c>
      <c r="I271" s="27" t="str">
        <f aca="false">IFERROR(VLOOKUP(G271,CATEGORÍAS!$A$4:$C$100,3,FALSE()),"")</f>
        <v>Comida</v>
      </c>
      <c r="J271" s="49"/>
      <c r="K271" s="50" t="s">
        <v>441</v>
      </c>
    </row>
    <row r="272" customFormat="false" ht="15" hidden="false" customHeight="false" outlineLevel="0" collapsed="false">
      <c r="A272" s="46" t="n">
        <v>46056</v>
      </c>
      <c r="B272" s="47" t="n">
        <f aca="false">DATE(YEAR(A272),MONTH(A272),1)</f>
        <v>46054</v>
      </c>
      <c r="C272" s="5" t="s">
        <v>120</v>
      </c>
      <c r="D272" s="5" t="s">
        <v>121</v>
      </c>
      <c r="E272" s="48" t="n">
        <v>-12.07</v>
      </c>
      <c r="F272" s="5"/>
      <c r="G272" s="49" t="s">
        <v>122</v>
      </c>
      <c r="H272" s="27" t="str">
        <f aca="false">IFERROR(VLOOKUP(G272,CATEGORÍAS!$A$4:$C$100,2,FALSE()),"Por revisar")</f>
        <v>Gasto</v>
      </c>
      <c r="I272" s="27" t="str">
        <f aca="false">IFERROR(VLOOKUP(G272,CATEGORÍAS!$A$4:$C$100,3,FALSE()),"")</f>
        <v>Comida</v>
      </c>
      <c r="J272" s="49"/>
      <c r="K272" s="50" t="s">
        <v>442</v>
      </c>
    </row>
    <row r="273" customFormat="false" ht="15" hidden="false" customHeight="false" outlineLevel="0" collapsed="false">
      <c r="A273" s="46" t="n">
        <v>46056</v>
      </c>
      <c r="B273" s="47" t="n">
        <f aca="false">DATE(YEAR(A273),MONTH(A273),1)</f>
        <v>46054</v>
      </c>
      <c r="C273" s="5" t="s">
        <v>91</v>
      </c>
      <c r="D273" s="5" t="s">
        <v>177</v>
      </c>
      <c r="E273" s="48" t="n">
        <v>-150</v>
      </c>
      <c r="F273" s="48" t="n">
        <v>4321.39</v>
      </c>
      <c r="G273" s="49" t="s">
        <v>178</v>
      </c>
      <c r="H273" s="27" t="str">
        <f aca="false">IFERROR(VLOOKUP(G273,CATEGORÍAS!$A$4:$C$100,2,FALSE()),"Por revisar")</f>
        <v>Gasto</v>
      </c>
      <c r="I273" s="27" t="str">
        <f aca="false">IFERROR(VLOOKUP(G273,CATEGORÍAS!$A$4:$C$100,3,FALSE()),"")</f>
        <v>Viajes</v>
      </c>
      <c r="J273" s="49"/>
      <c r="K273" s="50" t="s">
        <v>443</v>
      </c>
    </row>
    <row r="274" customFormat="false" ht="15" hidden="false" customHeight="false" outlineLevel="0" collapsed="false">
      <c r="A274" s="46" t="n">
        <v>46055</v>
      </c>
      <c r="B274" s="47" t="n">
        <f aca="false">DATE(YEAR(A274),MONTH(A274),1)</f>
        <v>46054</v>
      </c>
      <c r="C274" s="5" t="s">
        <v>120</v>
      </c>
      <c r="D274" s="5" t="s">
        <v>173</v>
      </c>
      <c r="E274" s="48" t="n">
        <v>-15.62</v>
      </c>
      <c r="F274" s="5"/>
      <c r="G274" s="49" t="s">
        <v>174</v>
      </c>
      <c r="H274" s="27" t="str">
        <f aca="false">IFERROR(VLOOKUP(G274,CATEGORÍAS!$A$4:$C$100,2,FALSE()),"Por revisar")</f>
        <v>Gasto</v>
      </c>
      <c r="I274" s="27" t="str">
        <f aca="false">IFERROR(VLOOKUP(G274,CATEGORÍAS!$A$4:$C$100,3,FALSE()),"")</f>
        <v>Ocio</v>
      </c>
      <c r="J274" s="49"/>
      <c r="K274" s="50" t="s">
        <v>444</v>
      </c>
    </row>
    <row r="275" customFormat="false" ht="15" hidden="false" customHeight="false" outlineLevel="0" collapsed="false">
      <c r="A275" s="46" t="n">
        <v>46055</v>
      </c>
      <c r="B275" s="47" t="n">
        <f aca="false">DATE(YEAR(A275),MONTH(A275),1)</f>
        <v>46054</v>
      </c>
      <c r="C275" s="5" t="s">
        <v>91</v>
      </c>
      <c r="D275" s="5" t="s">
        <v>180</v>
      </c>
      <c r="E275" s="48" t="n">
        <v>-300</v>
      </c>
      <c r="F275" s="48" t="n">
        <v>4951.39</v>
      </c>
      <c r="G275" s="49" t="s">
        <v>181</v>
      </c>
      <c r="H275" s="27" t="str">
        <f aca="false">IFERROR(VLOOKUP(G275,CATEGORÍAS!$A$4:$C$100,2,FALSE()),"Por revisar")</f>
        <v>Traspaso</v>
      </c>
      <c r="I275" s="27" t="str">
        <f aca="false">IFERROR(VLOOKUP(G275,CATEGORÍAS!$A$4:$C$100,3,FALSE()),"")</f>
        <v>Traspasos</v>
      </c>
      <c r="J275" s="49"/>
      <c r="K275" s="50" t="s">
        <v>445</v>
      </c>
    </row>
    <row r="276" customFormat="false" ht="15" hidden="false" customHeight="false" outlineLevel="0" collapsed="false">
      <c r="A276" s="46" t="n">
        <v>46055</v>
      </c>
      <c r="B276" s="47" t="n">
        <f aca="false">DATE(YEAR(A276),MONTH(A276),1)</f>
        <v>46054</v>
      </c>
      <c r="C276" s="5" t="s">
        <v>91</v>
      </c>
      <c r="D276" s="5" t="s">
        <v>183</v>
      </c>
      <c r="E276" s="48" t="n">
        <v>-480</v>
      </c>
      <c r="F276" s="48" t="n">
        <v>4471.39</v>
      </c>
      <c r="G276" s="49" t="s">
        <v>181</v>
      </c>
      <c r="H276" s="27" t="str">
        <f aca="false">IFERROR(VLOOKUP(G276,CATEGORÍAS!$A$4:$C$100,2,FALSE()),"Por revisar")</f>
        <v>Traspaso</v>
      </c>
      <c r="I276" s="27" t="str">
        <f aca="false">IFERROR(VLOOKUP(G276,CATEGORÍAS!$A$4:$C$100,3,FALSE()),"")</f>
        <v>Traspasos</v>
      </c>
      <c r="J276" s="49"/>
      <c r="K276" s="50" t="s">
        <v>446</v>
      </c>
    </row>
    <row r="277" customFormat="false" ht="15" hidden="false" customHeight="false" outlineLevel="0" collapsed="false">
      <c r="A277" s="46" t="n">
        <v>46055</v>
      </c>
      <c r="B277" s="47" t="n">
        <f aca="false">DATE(YEAR(A277),MONTH(A277),1)</f>
        <v>46054</v>
      </c>
      <c r="C277" s="5" t="s">
        <v>93</v>
      </c>
      <c r="D277" s="5" t="s">
        <v>185</v>
      </c>
      <c r="E277" s="48" t="n">
        <v>300</v>
      </c>
      <c r="F277" s="48" t="n">
        <v>53632</v>
      </c>
      <c r="G277" s="49" t="s">
        <v>181</v>
      </c>
      <c r="H277" s="27" t="str">
        <f aca="false">IFERROR(VLOOKUP(G277,CATEGORÍAS!$A$4:$C$100,2,FALSE()),"Por revisar")</f>
        <v>Traspaso</v>
      </c>
      <c r="I277" s="27" t="str">
        <f aca="false">IFERROR(VLOOKUP(G277,CATEGORÍAS!$A$4:$C$100,3,FALSE()),"")</f>
        <v>Traspasos</v>
      </c>
      <c r="J277" s="49"/>
      <c r="K277" s="50" t="s">
        <v>447</v>
      </c>
    </row>
    <row r="278" customFormat="false" ht="15" hidden="false" customHeight="false" outlineLevel="0" collapsed="false">
      <c r="A278" s="46" t="n">
        <v>46055</v>
      </c>
      <c r="B278" s="47" t="n">
        <f aca="false">DATE(YEAR(A278),MONTH(A278),1)</f>
        <v>46054</v>
      </c>
      <c r="C278" s="5" t="s">
        <v>92</v>
      </c>
      <c r="D278" s="5" t="s">
        <v>185</v>
      </c>
      <c r="E278" s="48" t="n">
        <v>480</v>
      </c>
      <c r="F278" s="48" t="n">
        <v>1623.68</v>
      </c>
      <c r="G278" s="49" t="s">
        <v>181</v>
      </c>
      <c r="H278" s="27" t="str">
        <f aca="false">IFERROR(VLOOKUP(G278,CATEGORÍAS!$A$4:$C$100,2,FALSE()),"Por revisar")</f>
        <v>Traspaso</v>
      </c>
      <c r="I278" s="27" t="str">
        <f aca="false">IFERROR(VLOOKUP(G278,CATEGORÍAS!$A$4:$C$100,3,FALSE()),"")</f>
        <v>Traspasos</v>
      </c>
      <c r="J278" s="49"/>
      <c r="K278" s="50" t="s">
        <v>448</v>
      </c>
    </row>
    <row r="279" customFormat="false" ht="15" hidden="false" customHeight="false" outlineLevel="0" collapsed="false">
      <c r="A279" s="46" t="n">
        <v>46054</v>
      </c>
      <c r="B279" s="47" t="n">
        <f aca="false">DATE(YEAR(A279),MONTH(A279),1)</f>
        <v>46054</v>
      </c>
      <c r="C279" s="5" t="s">
        <v>91</v>
      </c>
      <c r="D279" s="5" t="s">
        <v>449</v>
      </c>
      <c r="E279" s="48" t="n">
        <v>-850</v>
      </c>
      <c r="F279" s="48" t="n">
        <v>5251.39</v>
      </c>
      <c r="G279" s="49" t="s">
        <v>189</v>
      </c>
      <c r="H279" s="27" t="str">
        <f aca="false">IFERROR(VLOOKUP(G279,CATEGORÍAS!$A$4:$C$100,2,FALSE()),"Por revisar")</f>
        <v>Gasto</v>
      </c>
      <c r="I279" s="27" t="str">
        <f aca="false">IFERROR(VLOOKUP(G279,CATEGORÍAS!$A$4:$C$100,3,FALSE()),"")</f>
        <v>Casa</v>
      </c>
      <c r="J279" s="49"/>
      <c r="K279" s="50" t="s">
        <v>450</v>
      </c>
    </row>
    <row r="280" customFormat="false" ht="15" hidden="false" customHeight="false" outlineLevel="0" collapsed="false">
      <c r="A280" s="46" t="n">
        <v>46053</v>
      </c>
      <c r="B280" s="47" t="n">
        <f aca="false">DATE(YEAR(A280),MONTH(A280),1)</f>
        <v>46023</v>
      </c>
      <c r="C280" s="5" t="s">
        <v>93</v>
      </c>
      <c r="D280" s="5" t="s">
        <v>114</v>
      </c>
      <c r="E280" s="48" t="n">
        <v>33.31</v>
      </c>
      <c r="F280" s="48" t="n">
        <v>53332</v>
      </c>
      <c r="G280" s="49" t="s">
        <v>115</v>
      </c>
      <c r="H280" s="27" t="str">
        <f aca="false">IFERROR(VLOOKUP(G280,CATEGORÍAS!$A$4:$C$100,2,FALSE()),"Por revisar")</f>
        <v>Ingreso</v>
      </c>
      <c r="I280" s="27" t="str">
        <f aca="false">IFERROR(VLOOKUP(G280,CATEGORÍAS!$A$4:$C$100,3,FALSE()),"")</f>
        <v>Ahorro</v>
      </c>
      <c r="J280" s="49"/>
      <c r="K280" s="50" t="s">
        <v>451</v>
      </c>
    </row>
    <row r="281" customFormat="false" ht="15" hidden="false" customHeight="false" outlineLevel="0" collapsed="false">
      <c r="A281" s="46" t="n">
        <v>46050</v>
      </c>
      <c r="B281" s="47" t="n">
        <f aca="false">DATE(YEAR(A281),MONTH(A281),1)</f>
        <v>46023</v>
      </c>
      <c r="C281" s="5" t="s">
        <v>120</v>
      </c>
      <c r="D281" s="5" t="s">
        <v>124</v>
      </c>
      <c r="E281" s="48" t="n">
        <v>-3.01</v>
      </c>
      <c r="F281" s="5"/>
      <c r="G281" s="49" t="s">
        <v>125</v>
      </c>
      <c r="H281" s="27" t="str">
        <f aca="false">IFERROR(VLOOKUP(G281,CATEGORÍAS!$A$4:$C$100,2,FALSE()),"Por revisar")</f>
        <v>Gasto</v>
      </c>
      <c r="I281" s="27" t="str">
        <f aca="false">IFERROR(VLOOKUP(G281,CATEGORÍAS!$A$4:$C$100,3,FALSE()),"")</f>
        <v>Comida</v>
      </c>
      <c r="J281" s="49"/>
      <c r="K281" s="50" t="s">
        <v>452</v>
      </c>
    </row>
    <row r="282" customFormat="false" ht="15" hidden="false" customHeight="false" outlineLevel="0" collapsed="false">
      <c r="A282" s="46" t="n">
        <v>46050</v>
      </c>
      <c r="B282" s="47" t="n">
        <f aca="false">DATE(YEAR(A282),MONTH(A282),1)</f>
        <v>46023</v>
      </c>
      <c r="C282" s="5" t="s">
        <v>120</v>
      </c>
      <c r="D282" s="5" t="s">
        <v>144</v>
      </c>
      <c r="E282" s="48" t="n">
        <v>-57.24</v>
      </c>
      <c r="F282" s="5"/>
      <c r="G282" s="49" t="s">
        <v>122</v>
      </c>
      <c r="H282" s="27" t="str">
        <f aca="false">IFERROR(VLOOKUP(G282,CATEGORÍAS!$A$4:$C$100,2,FALSE()),"Por revisar")</f>
        <v>Gasto</v>
      </c>
      <c r="I282" s="27" t="str">
        <f aca="false">IFERROR(VLOOKUP(G282,CATEGORÍAS!$A$4:$C$100,3,FALSE()),"")</f>
        <v>Comida</v>
      </c>
      <c r="J282" s="49"/>
      <c r="K282" s="50" t="s">
        <v>453</v>
      </c>
    </row>
    <row r="283" customFormat="false" ht="15" hidden="false" customHeight="false" outlineLevel="0" collapsed="false">
      <c r="A283" s="46" t="n">
        <v>46050</v>
      </c>
      <c r="B283" s="47" t="n">
        <f aca="false">DATE(YEAR(A283),MONTH(A283),1)</f>
        <v>46023</v>
      </c>
      <c r="C283" s="5" t="s">
        <v>91</v>
      </c>
      <c r="D283" s="5" t="s">
        <v>117</v>
      </c>
      <c r="E283" s="48" t="n">
        <v>2150</v>
      </c>
      <c r="F283" s="48" t="n">
        <v>6101.39</v>
      </c>
      <c r="G283" s="49" t="s">
        <v>118</v>
      </c>
      <c r="H283" s="27" t="str">
        <f aca="false">IFERROR(VLOOKUP(G283,CATEGORÍAS!$A$4:$C$100,2,FALSE()),"Por revisar")</f>
        <v>Ingreso</v>
      </c>
      <c r="I283" s="27" t="str">
        <f aca="false">IFERROR(VLOOKUP(G283,CATEGORÍAS!$A$4:$C$100,3,FALSE()),"")</f>
        <v>Trabajo</v>
      </c>
      <c r="J283" s="49"/>
      <c r="K283" s="50" t="s">
        <v>454</v>
      </c>
    </row>
    <row r="284" customFormat="false" ht="15" hidden="false" customHeight="false" outlineLevel="0" collapsed="false">
      <c r="A284" s="46" t="n">
        <v>46049</v>
      </c>
      <c r="B284" s="47" t="n">
        <f aca="false">DATE(YEAR(A284),MONTH(A284),1)</f>
        <v>46023</v>
      </c>
      <c r="C284" s="5" t="s">
        <v>120</v>
      </c>
      <c r="D284" s="5" t="s">
        <v>159</v>
      </c>
      <c r="E284" s="48" t="n">
        <v>-24.69</v>
      </c>
      <c r="F284" s="5"/>
      <c r="G284" s="49" t="s">
        <v>160</v>
      </c>
      <c r="H284" s="27" t="str">
        <f aca="false">IFERROR(VLOOKUP(G284,CATEGORÍAS!$A$4:$C$100,2,FALSE()),"Por revisar")</f>
        <v>Gasto</v>
      </c>
      <c r="I284" s="27" t="str">
        <f aca="false">IFERROR(VLOOKUP(G284,CATEGORÍAS!$A$4:$C$100,3,FALSE()),"")</f>
        <v>Salud</v>
      </c>
      <c r="J284" s="49"/>
      <c r="K284" s="50" t="s">
        <v>455</v>
      </c>
    </row>
    <row r="285" customFormat="false" ht="15" hidden="false" customHeight="false" outlineLevel="0" collapsed="false">
      <c r="A285" s="46" t="n">
        <v>46047</v>
      </c>
      <c r="B285" s="47" t="n">
        <f aca="false">DATE(YEAR(A285),MONTH(A285),1)</f>
        <v>46023</v>
      </c>
      <c r="C285" s="5" t="s">
        <v>120</v>
      </c>
      <c r="D285" s="5" t="s">
        <v>124</v>
      </c>
      <c r="E285" s="48" t="n">
        <v>-7.8</v>
      </c>
      <c r="F285" s="5"/>
      <c r="G285" s="49" t="s">
        <v>125</v>
      </c>
      <c r="H285" s="27" t="str">
        <f aca="false">IFERROR(VLOOKUP(G285,CATEGORÍAS!$A$4:$C$100,2,FALSE()),"Por revisar")</f>
        <v>Gasto</v>
      </c>
      <c r="I285" s="27" t="str">
        <f aca="false">IFERROR(VLOOKUP(G285,CATEGORÍAS!$A$4:$C$100,3,FALSE()),"")</f>
        <v>Comida</v>
      </c>
      <c r="J285" s="49"/>
      <c r="K285" s="50" t="s">
        <v>456</v>
      </c>
    </row>
    <row r="286" customFormat="false" ht="15" hidden="false" customHeight="false" outlineLevel="0" collapsed="false">
      <c r="A286" s="46" t="n">
        <v>46046</v>
      </c>
      <c r="B286" s="47" t="n">
        <f aca="false">DATE(YEAR(A286),MONTH(A286),1)</f>
        <v>46023</v>
      </c>
      <c r="C286" s="5" t="s">
        <v>91</v>
      </c>
      <c r="D286" s="5" t="s">
        <v>200</v>
      </c>
      <c r="E286" s="48" t="n">
        <v>-18</v>
      </c>
      <c r="F286" s="48" t="n">
        <v>3951.39</v>
      </c>
      <c r="G286" s="49" t="s">
        <v>201</v>
      </c>
      <c r="H286" s="27" t="str">
        <f aca="false">IFERROR(VLOOKUP(G286,CATEGORÍAS!$A$4:$C$100,2,FALSE()),"Por revisar")</f>
        <v>Gasto</v>
      </c>
      <c r="I286" s="27" t="str">
        <f aca="false">IFERROR(VLOOKUP(G286,CATEGORÍAS!$A$4:$C$100,3,FALSE()),"")</f>
        <v>Comida</v>
      </c>
      <c r="J286" s="49"/>
      <c r="K286" s="50" t="s">
        <v>457</v>
      </c>
    </row>
    <row r="287" customFormat="false" ht="15" hidden="false" customHeight="false" outlineLevel="0" collapsed="false">
      <c r="A287" s="46" t="n">
        <v>46045</v>
      </c>
      <c r="B287" s="47" t="n">
        <f aca="false">DATE(YEAR(A287),MONTH(A287),1)</f>
        <v>46023</v>
      </c>
      <c r="C287" s="5" t="s">
        <v>120</v>
      </c>
      <c r="D287" s="5" t="s">
        <v>144</v>
      </c>
      <c r="E287" s="48" t="n">
        <v>-53.29</v>
      </c>
      <c r="F287" s="5"/>
      <c r="G287" s="49" t="s">
        <v>122</v>
      </c>
      <c r="H287" s="27" t="str">
        <f aca="false">IFERROR(VLOOKUP(G287,CATEGORÍAS!$A$4:$C$100,2,FALSE()),"Por revisar")</f>
        <v>Gasto</v>
      </c>
      <c r="I287" s="27" t="str">
        <f aca="false">IFERROR(VLOOKUP(G287,CATEGORÍAS!$A$4:$C$100,3,FALSE()),"")</f>
        <v>Comida</v>
      </c>
      <c r="J287" s="49"/>
      <c r="K287" s="50" t="s">
        <v>458</v>
      </c>
    </row>
    <row r="288" customFormat="false" ht="15" hidden="false" customHeight="false" outlineLevel="0" collapsed="false">
      <c r="A288" s="46" t="n">
        <v>46044</v>
      </c>
      <c r="B288" s="47" t="n">
        <f aca="false">DATE(YEAR(A288),MONTH(A288),1)</f>
        <v>46023</v>
      </c>
      <c r="C288" s="5" t="s">
        <v>91</v>
      </c>
      <c r="D288" s="5" t="s">
        <v>140</v>
      </c>
      <c r="E288" s="48" t="n">
        <v>-22</v>
      </c>
      <c r="F288" s="48" t="n">
        <v>3969.39</v>
      </c>
      <c r="G288" s="49" t="s">
        <v>141</v>
      </c>
      <c r="H288" s="27" t="str">
        <f aca="false">IFERROR(VLOOKUP(G288,CATEGORÍAS!$A$4:$C$100,2,FALSE()),"Por revisar")</f>
        <v>Gasto</v>
      </c>
      <c r="I288" s="27" t="str">
        <f aca="false">IFERROR(VLOOKUP(G288,CATEGORÍAS!$A$4:$C$100,3,FALSE()),"")</f>
        <v>Personal</v>
      </c>
      <c r="J288" s="49"/>
      <c r="K288" s="50" t="s">
        <v>459</v>
      </c>
    </row>
    <row r="289" customFormat="false" ht="15" hidden="false" customHeight="false" outlineLevel="0" collapsed="false">
      <c r="A289" s="46" t="n">
        <v>46043</v>
      </c>
      <c r="B289" s="47" t="n">
        <f aca="false">DATE(YEAR(A289),MONTH(A289),1)</f>
        <v>46023</v>
      </c>
      <c r="C289" s="5" t="s">
        <v>120</v>
      </c>
      <c r="D289" s="5" t="s">
        <v>121</v>
      </c>
      <c r="E289" s="48" t="n">
        <v>-15.42</v>
      </c>
      <c r="F289" s="5"/>
      <c r="G289" s="49" t="s">
        <v>122</v>
      </c>
      <c r="H289" s="27" t="str">
        <f aca="false">IFERROR(VLOOKUP(G289,CATEGORÍAS!$A$4:$C$100,2,FALSE()),"Por revisar")</f>
        <v>Gasto</v>
      </c>
      <c r="I289" s="27" t="str">
        <f aca="false">IFERROR(VLOOKUP(G289,CATEGORÍAS!$A$4:$C$100,3,FALSE()),"")</f>
        <v>Comida</v>
      </c>
      <c r="J289" s="49"/>
      <c r="K289" s="50" t="s">
        <v>460</v>
      </c>
    </row>
    <row r="290" customFormat="false" ht="15" hidden="false" customHeight="false" outlineLevel="0" collapsed="false">
      <c r="A290" s="46" t="n">
        <v>46043</v>
      </c>
      <c r="B290" s="47" t="n">
        <f aca="false">DATE(YEAR(A290),MONTH(A290),1)</f>
        <v>46023</v>
      </c>
      <c r="C290" s="5" t="s">
        <v>120</v>
      </c>
      <c r="D290" s="5" t="s">
        <v>146</v>
      </c>
      <c r="E290" s="48" t="n">
        <v>-41.61</v>
      </c>
      <c r="F290" s="5"/>
      <c r="G290" s="49" t="s">
        <v>130</v>
      </c>
      <c r="H290" s="27" t="str">
        <f aca="false">IFERROR(VLOOKUP(G290,CATEGORÍAS!$A$4:$C$100,2,FALSE()),"Por revisar")</f>
        <v>Gasto</v>
      </c>
      <c r="I290" s="27" t="str">
        <f aca="false">IFERROR(VLOOKUP(G290,CATEGORÍAS!$A$4:$C$100,3,FALSE()),"")</f>
        <v>Transporte</v>
      </c>
      <c r="J290" s="49"/>
      <c r="K290" s="50" t="s">
        <v>461</v>
      </c>
    </row>
    <row r="291" customFormat="false" ht="15" hidden="false" customHeight="false" outlineLevel="0" collapsed="false">
      <c r="A291" s="46" t="n">
        <v>46043</v>
      </c>
      <c r="B291" s="47" t="n">
        <f aca="false">DATE(YEAR(A291),MONTH(A291),1)</f>
        <v>46023</v>
      </c>
      <c r="C291" s="5" t="s">
        <v>120</v>
      </c>
      <c r="D291" s="5" t="s">
        <v>144</v>
      </c>
      <c r="E291" s="48" t="n">
        <v>-65.92</v>
      </c>
      <c r="F291" s="5"/>
      <c r="G291" s="49" t="s">
        <v>122</v>
      </c>
      <c r="H291" s="27" t="str">
        <f aca="false">IFERROR(VLOOKUP(G291,CATEGORÍAS!$A$4:$C$100,2,FALSE()),"Por revisar")</f>
        <v>Gasto</v>
      </c>
      <c r="I291" s="27" t="str">
        <f aca="false">IFERROR(VLOOKUP(G291,CATEGORÍAS!$A$4:$C$100,3,FALSE()),"")</f>
        <v>Comida</v>
      </c>
      <c r="J291" s="49"/>
      <c r="K291" s="50" t="s">
        <v>462</v>
      </c>
    </row>
    <row r="292" customFormat="false" ht="15" hidden="false" customHeight="false" outlineLevel="0" collapsed="false">
      <c r="A292" s="46" t="n">
        <v>46040</v>
      </c>
      <c r="B292" s="47" t="n">
        <f aca="false">DATE(YEAR(A292),MONTH(A292),1)</f>
        <v>46023</v>
      </c>
      <c r="C292" s="5" t="s">
        <v>120</v>
      </c>
      <c r="D292" s="5" t="s">
        <v>173</v>
      </c>
      <c r="E292" s="48" t="n">
        <v>-15.18</v>
      </c>
      <c r="F292" s="5"/>
      <c r="G292" s="49" t="s">
        <v>174</v>
      </c>
      <c r="H292" s="27" t="str">
        <f aca="false">IFERROR(VLOOKUP(G292,CATEGORÍAS!$A$4:$C$100,2,FALSE()),"Por revisar")</f>
        <v>Gasto</v>
      </c>
      <c r="I292" s="27" t="str">
        <f aca="false">IFERROR(VLOOKUP(G292,CATEGORÍAS!$A$4:$C$100,3,FALSE()),"")</f>
        <v>Ocio</v>
      </c>
      <c r="J292" s="49"/>
      <c r="K292" s="50" t="s">
        <v>463</v>
      </c>
    </row>
    <row r="293" customFormat="false" ht="15" hidden="false" customHeight="false" outlineLevel="0" collapsed="false">
      <c r="A293" s="46" t="n">
        <v>46040</v>
      </c>
      <c r="B293" s="47" t="n">
        <f aca="false">DATE(YEAR(A293),MONTH(A293),1)</f>
        <v>46023</v>
      </c>
      <c r="C293" s="5" t="s">
        <v>120</v>
      </c>
      <c r="D293" s="5" t="s">
        <v>144</v>
      </c>
      <c r="E293" s="48" t="n">
        <v>-66.41</v>
      </c>
      <c r="F293" s="5"/>
      <c r="G293" s="49" t="s">
        <v>122</v>
      </c>
      <c r="H293" s="27" t="str">
        <f aca="false">IFERROR(VLOOKUP(G293,CATEGORÍAS!$A$4:$C$100,2,FALSE()),"Por revisar")</f>
        <v>Gasto</v>
      </c>
      <c r="I293" s="27" t="str">
        <f aca="false">IFERROR(VLOOKUP(G293,CATEGORÍAS!$A$4:$C$100,3,FALSE()),"")</f>
        <v>Comida</v>
      </c>
      <c r="J293" s="49"/>
      <c r="K293" s="50" t="s">
        <v>464</v>
      </c>
    </row>
    <row r="294" customFormat="false" ht="15" hidden="false" customHeight="false" outlineLevel="0" collapsed="false">
      <c r="A294" s="46" t="n">
        <v>46035</v>
      </c>
      <c r="B294" s="47" t="n">
        <f aca="false">DATE(YEAR(A294),MONTH(A294),1)</f>
        <v>46023</v>
      </c>
      <c r="C294" s="5" t="s">
        <v>120</v>
      </c>
      <c r="D294" s="5" t="s">
        <v>124</v>
      </c>
      <c r="E294" s="48" t="n">
        <v>-4.27</v>
      </c>
      <c r="F294" s="5"/>
      <c r="G294" s="49" t="s">
        <v>125</v>
      </c>
      <c r="H294" s="27" t="str">
        <f aca="false">IFERROR(VLOOKUP(G294,CATEGORÍAS!$A$4:$C$100,2,FALSE()),"Por revisar")</f>
        <v>Gasto</v>
      </c>
      <c r="I294" s="27" t="str">
        <f aca="false">IFERROR(VLOOKUP(G294,CATEGORÍAS!$A$4:$C$100,3,FALSE()),"")</f>
        <v>Comida</v>
      </c>
      <c r="J294" s="49"/>
      <c r="K294" s="50" t="s">
        <v>465</v>
      </c>
    </row>
    <row r="295" customFormat="false" ht="15" hidden="false" customHeight="false" outlineLevel="0" collapsed="false">
      <c r="A295" s="46" t="n">
        <v>46034</v>
      </c>
      <c r="B295" s="47" t="n">
        <f aca="false">DATE(YEAR(A295),MONTH(A295),1)</f>
        <v>46023</v>
      </c>
      <c r="C295" s="5" t="s">
        <v>120</v>
      </c>
      <c r="D295" s="5" t="s">
        <v>124</v>
      </c>
      <c r="E295" s="48" t="n">
        <v>-3.64</v>
      </c>
      <c r="F295" s="5"/>
      <c r="G295" s="49" t="s">
        <v>125</v>
      </c>
      <c r="H295" s="27" t="str">
        <f aca="false">IFERROR(VLOOKUP(G295,CATEGORÍAS!$A$4:$C$100,2,FALSE()),"Por revisar")</f>
        <v>Gasto</v>
      </c>
      <c r="I295" s="27" t="str">
        <f aca="false">IFERROR(VLOOKUP(G295,CATEGORÍAS!$A$4:$C$100,3,FALSE()),"")</f>
        <v>Comida</v>
      </c>
      <c r="J295" s="49"/>
      <c r="K295" s="50" t="s">
        <v>466</v>
      </c>
    </row>
    <row r="296" customFormat="false" ht="15" hidden="false" customHeight="false" outlineLevel="0" collapsed="false">
      <c r="A296" s="46" t="n">
        <v>46033</v>
      </c>
      <c r="B296" s="47" t="n">
        <f aca="false">DATE(YEAR(A296),MONTH(A296),1)</f>
        <v>46023</v>
      </c>
      <c r="C296" s="5" t="s">
        <v>91</v>
      </c>
      <c r="D296" s="5" t="s">
        <v>151</v>
      </c>
      <c r="E296" s="48" t="n">
        <v>-29</v>
      </c>
      <c r="F296" s="48" t="n">
        <v>3991.39</v>
      </c>
      <c r="G296" s="49" t="s">
        <v>201</v>
      </c>
      <c r="H296" s="27" t="str">
        <f aca="false">IFERROR(VLOOKUP(G296,CATEGORÍAS!$A$4:$C$100,2,FALSE()),"Por revisar")</f>
        <v>Gasto</v>
      </c>
      <c r="I296" s="27" t="str">
        <f aca="false">IFERROR(VLOOKUP(G296,CATEGORÍAS!$A$4:$C$100,3,FALSE()),"")</f>
        <v>Comida</v>
      </c>
      <c r="J296" s="49"/>
      <c r="K296" s="50" t="s">
        <v>467</v>
      </c>
    </row>
    <row r="297" customFormat="false" ht="15" hidden="false" customHeight="false" outlineLevel="0" collapsed="false">
      <c r="A297" s="46" t="n">
        <v>46031</v>
      </c>
      <c r="B297" s="47" t="n">
        <f aca="false">DATE(YEAR(A297),MONTH(A297),1)</f>
        <v>46023</v>
      </c>
      <c r="C297" s="5" t="s">
        <v>120</v>
      </c>
      <c r="D297" s="5" t="s">
        <v>127</v>
      </c>
      <c r="E297" s="48" t="n">
        <v>-51.38</v>
      </c>
      <c r="F297" s="5"/>
      <c r="G297" s="49" t="s">
        <v>125</v>
      </c>
      <c r="H297" s="27" t="str">
        <f aca="false">IFERROR(VLOOKUP(G297,CATEGORÍAS!$A$4:$C$100,2,FALSE()),"Por revisar")</f>
        <v>Gasto</v>
      </c>
      <c r="I297" s="27" t="str">
        <f aca="false">IFERROR(VLOOKUP(G297,CATEGORÍAS!$A$4:$C$100,3,FALSE()),"")</f>
        <v>Comida</v>
      </c>
      <c r="J297" s="49"/>
      <c r="K297" s="50" t="s">
        <v>468</v>
      </c>
    </row>
    <row r="298" customFormat="false" ht="15" hidden="false" customHeight="false" outlineLevel="0" collapsed="false">
      <c r="A298" s="46" t="n">
        <v>46031</v>
      </c>
      <c r="B298" s="47" t="n">
        <f aca="false">DATE(YEAR(A298),MONTH(A298),1)</f>
        <v>46023</v>
      </c>
      <c r="C298" s="5" t="s">
        <v>91</v>
      </c>
      <c r="D298" s="5" t="s">
        <v>153</v>
      </c>
      <c r="E298" s="48" t="n">
        <v>-12.99</v>
      </c>
      <c r="F298" s="48" t="n">
        <v>4020.39</v>
      </c>
      <c r="G298" s="49" t="s">
        <v>154</v>
      </c>
      <c r="H298" s="27" t="str">
        <f aca="false">IFERROR(VLOOKUP(G298,CATEGORÍAS!$A$4:$C$100,2,FALSE()),"Por revisar")</f>
        <v>Gasto</v>
      </c>
      <c r="I298" s="27" t="str">
        <f aca="false">IFERROR(VLOOKUP(G298,CATEGORÍAS!$A$4:$C$100,3,FALSE()),"")</f>
        <v>Personal</v>
      </c>
      <c r="J298" s="49"/>
      <c r="K298" s="50" t="s">
        <v>469</v>
      </c>
    </row>
    <row r="299" customFormat="false" ht="15" hidden="false" customHeight="false" outlineLevel="0" collapsed="false">
      <c r="A299" s="46" t="n">
        <v>46030</v>
      </c>
      <c r="B299" s="47" t="n">
        <f aca="false">DATE(YEAR(A299),MONTH(A299),1)</f>
        <v>46023</v>
      </c>
      <c r="C299" s="5" t="s">
        <v>120</v>
      </c>
      <c r="D299" s="5" t="s">
        <v>129</v>
      </c>
      <c r="E299" s="48" t="n">
        <v>-20</v>
      </c>
      <c r="F299" s="5"/>
      <c r="G299" s="49" t="s">
        <v>130</v>
      </c>
      <c r="H299" s="27" t="str">
        <f aca="false">IFERROR(VLOOKUP(G299,CATEGORÍAS!$A$4:$C$100,2,FALSE()),"Por revisar")</f>
        <v>Gasto</v>
      </c>
      <c r="I299" s="27" t="str">
        <f aca="false">IFERROR(VLOOKUP(G299,CATEGORÍAS!$A$4:$C$100,3,FALSE()),"")</f>
        <v>Transporte</v>
      </c>
      <c r="J299" s="49"/>
      <c r="K299" s="50" t="s">
        <v>470</v>
      </c>
    </row>
    <row r="300" customFormat="false" ht="15" hidden="false" customHeight="false" outlineLevel="0" collapsed="false">
      <c r="A300" s="46" t="n">
        <v>46030</v>
      </c>
      <c r="B300" s="47" t="n">
        <f aca="false">DATE(YEAR(A300),MONTH(A300),1)</f>
        <v>46023</v>
      </c>
      <c r="C300" s="5" t="s">
        <v>91</v>
      </c>
      <c r="D300" s="5" t="s">
        <v>156</v>
      </c>
      <c r="E300" s="48" t="n">
        <v>-63.54</v>
      </c>
      <c r="F300" s="48" t="n">
        <v>4033.38</v>
      </c>
      <c r="G300" s="49" t="s">
        <v>157</v>
      </c>
      <c r="H300" s="27" t="str">
        <f aca="false">IFERROR(VLOOKUP(G300,CATEGORÍAS!$A$4:$C$100,2,FALSE()),"Por revisar")</f>
        <v>Gasto</v>
      </c>
      <c r="I300" s="27" t="str">
        <f aca="false">IFERROR(VLOOKUP(G300,CATEGORÍAS!$A$4:$C$100,3,FALSE()),"")</f>
        <v>Casa</v>
      </c>
      <c r="J300" s="49"/>
      <c r="K300" s="50" t="s">
        <v>471</v>
      </c>
    </row>
    <row r="301" customFormat="false" ht="15" hidden="false" customHeight="false" outlineLevel="0" collapsed="false">
      <c r="A301" s="46" t="n">
        <v>46028</v>
      </c>
      <c r="B301" s="47" t="n">
        <f aca="false">DATE(YEAR(A301),MONTH(A301),1)</f>
        <v>46023</v>
      </c>
      <c r="C301" s="5" t="s">
        <v>120</v>
      </c>
      <c r="D301" s="5" t="s">
        <v>124</v>
      </c>
      <c r="E301" s="48" t="n">
        <v>-4.62</v>
      </c>
      <c r="F301" s="5"/>
      <c r="G301" s="49" t="s">
        <v>125</v>
      </c>
      <c r="H301" s="27" t="str">
        <f aca="false">IFERROR(VLOOKUP(G301,CATEGORÍAS!$A$4:$C$100,2,FALSE()),"Por revisar")</f>
        <v>Gasto</v>
      </c>
      <c r="I301" s="27" t="str">
        <f aca="false">IFERROR(VLOOKUP(G301,CATEGORÍAS!$A$4:$C$100,3,FALSE()),"")</f>
        <v>Comida</v>
      </c>
      <c r="J301" s="49"/>
      <c r="K301" s="50" t="s">
        <v>472</v>
      </c>
    </row>
    <row r="302" customFormat="false" ht="15" hidden="false" customHeight="false" outlineLevel="0" collapsed="false">
      <c r="A302" s="46" t="n">
        <v>46028</v>
      </c>
      <c r="B302" s="47" t="n">
        <f aca="false">DATE(YEAR(A302),MONTH(A302),1)</f>
        <v>46023</v>
      </c>
      <c r="C302" s="5" t="s">
        <v>91</v>
      </c>
      <c r="D302" s="5" t="s">
        <v>164</v>
      </c>
      <c r="E302" s="48" t="n">
        <v>-14.95</v>
      </c>
      <c r="F302" s="48" t="n">
        <v>4096.92</v>
      </c>
      <c r="G302" s="49" t="s">
        <v>165</v>
      </c>
      <c r="H302" s="27" t="str">
        <f aca="false">IFERROR(VLOOKUP(G302,CATEGORÍAS!$A$4:$C$100,2,FALSE()),"Por revisar")</f>
        <v>Gasto</v>
      </c>
      <c r="I302" s="27" t="str">
        <f aca="false">IFERROR(VLOOKUP(G302,CATEGORÍAS!$A$4:$C$100,3,FALSE()),"")</f>
        <v>Personal</v>
      </c>
      <c r="J302" s="49"/>
      <c r="K302" s="50" t="s">
        <v>473</v>
      </c>
    </row>
    <row r="303" customFormat="false" ht="15" hidden="false" customHeight="false" outlineLevel="0" collapsed="false">
      <c r="A303" s="46" t="n">
        <v>46027</v>
      </c>
      <c r="B303" s="47" t="n">
        <f aca="false">DATE(YEAR(A303),MONTH(A303),1)</f>
        <v>46023</v>
      </c>
      <c r="C303" s="5" t="s">
        <v>120</v>
      </c>
      <c r="D303" s="5" t="s">
        <v>121</v>
      </c>
      <c r="E303" s="48" t="n">
        <v>-10.25</v>
      </c>
      <c r="F303" s="5"/>
      <c r="G303" s="49" t="s">
        <v>122</v>
      </c>
      <c r="H303" s="27" t="str">
        <f aca="false">IFERROR(VLOOKUP(G303,CATEGORÍAS!$A$4:$C$100,2,FALSE()),"Por revisar")</f>
        <v>Gasto</v>
      </c>
      <c r="I303" s="27" t="str">
        <f aca="false">IFERROR(VLOOKUP(G303,CATEGORÍAS!$A$4:$C$100,3,FALSE()),"")</f>
        <v>Comida</v>
      </c>
      <c r="J303" s="49"/>
      <c r="K303" s="50" t="s">
        <v>474</v>
      </c>
    </row>
    <row r="304" customFormat="false" ht="15" hidden="false" customHeight="false" outlineLevel="0" collapsed="false">
      <c r="A304" s="46" t="n">
        <v>46027</v>
      </c>
      <c r="B304" s="47" t="n">
        <f aca="false">DATE(YEAR(A304),MONTH(A304),1)</f>
        <v>46023</v>
      </c>
      <c r="C304" s="5" t="s">
        <v>91</v>
      </c>
      <c r="D304" s="5" t="s">
        <v>167</v>
      </c>
      <c r="E304" s="48" t="n">
        <v>-39.9</v>
      </c>
      <c r="F304" s="48" t="n">
        <v>4111.87</v>
      </c>
      <c r="G304" s="49" t="s">
        <v>168</v>
      </c>
      <c r="H304" s="27" t="str">
        <f aca="false">IFERROR(VLOOKUP(G304,CATEGORÍAS!$A$4:$C$100,2,FALSE()),"Por revisar")</f>
        <v>Gasto</v>
      </c>
      <c r="I304" s="27" t="str">
        <f aca="false">IFERROR(VLOOKUP(G304,CATEGORÍAS!$A$4:$C$100,3,FALSE()),"")</f>
        <v>Casa</v>
      </c>
      <c r="J304" s="49"/>
      <c r="K304" s="50" t="s">
        <v>475</v>
      </c>
    </row>
    <row r="305" customFormat="false" ht="15" hidden="false" customHeight="false" outlineLevel="0" collapsed="false">
      <c r="A305" s="46" t="n">
        <v>46027</v>
      </c>
      <c r="B305" s="47" t="n">
        <f aca="false">DATE(YEAR(A305),MONTH(A305),1)</f>
        <v>46023</v>
      </c>
      <c r="C305" s="5" t="s">
        <v>92</v>
      </c>
      <c r="D305" s="5" t="s">
        <v>170</v>
      </c>
      <c r="E305" s="48" t="n">
        <v>-440.52</v>
      </c>
      <c r="F305" s="48" t="n">
        <v>1143.68</v>
      </c>
      <c r="G305" s="49" t="s">
        <v>171</v>
      </c>
      <c r="H305" s="27" t="str">
        <f aca="false">IFERROR(VLOOKUP(G305,CATEGORÍAS!$A$4:$C$100,2,FALSE()),"Por revisar")</f>
        <v>Traspaso</v>
      </c>
      <c r="I305" s="27" t="str">
        <f aca="false">IFERROR(VLOOKUP(G305,CATEGORÍAS!$A$4:$C$100,3,FALSE()),"")</f>
        <v>Traspasos</v>
      </c>
      <c r="J305" s="49"/>
      <c r="K305" s="50" t="s">
        <v>476</v>
      </c>
    </row>
    <row r="306" customFormat="false" ht="15" hidden="false" customHeight="false" outlineLevel="0" collapsed="false">
      <c r="A306" s="46" t="n">
        <v>46026</v>
      </c>
      <c r="B306" s="47" t="n">
        <f aca="false">DATE(YEAR(A306),MONTH(A306),1)</f>
        <v>46023</v>
      </c>
      <c r="C306" s="5" t="s">
        <v>120</v>
      </c>
      <c r="D306" s="5" t="s">
        <v>127</v>
      </c>
      <c r="E306" s="48" t="n">
        <v>-40.98</v>
      </c>
      <c r="F306" s="5"/>
      <c r="G306" s="49" t="s">
        <v>125</v>
      </c>
      <c r="H306" s="27" t="str">
        <f aca="false">IFERROR(VLOOKUP(G306,CATEGORÍAS!$A$4:$C$100,2,FALSE()),"Por revisar")</f>
        <v>Gasto</v>
      </c>
      <c r="I306" s="27" t="str">
        <f aca="false">IFERROR(VLOOKUP(G306,CATEGORÍAS!$A$4:$C$100,3,FALSE()),"")</f>
        <v>Comida</v>
      </c>
      <c r="J306" s="49"/>
      <c r="K306" s="50" t="s">
        <v>477</v>
      </c>
    </row>
    <row r="307" customFormat="false" ht="15" hidden="false" customHeight="false" outlineLevel="0" collapsed="false">
      <c r="A307" s="46" t="n">
        <v>46025</v>
      </c>
      <c r="B307" s="47" t="n">
        <f aca="false">DATE(YEAR(A307),MONTH(A307),1)</f>
        <v>46023</v>
      </c>
      <c r="C307" s="5" t="s">
        <v>91</v>
      </c>
      <c r="D307" s="5" t="s">
        <v>177</v>
      </c>
      <c r="E307" s="48" t="n">
        <v>-150</v>
      </c>
      <c r="F307" s="48" t="n">
        <v>4151.77</v>
      </c>
      <c r="G307" s="49" t="s">
        <v>178</v>
      </c>
      <c r="H307" s="27" t="str">
        <f aca="false">IFERROR(VLOOKUP(G307,CATEGORÍAS!$A$4:$C$100,2,FALSE()),"Por revisar")</f>
        <v>Gasto</v>
      </c>
      <c r="I307" s="27" t="str">
        <f aca="false">IFERROR(VLOOKUP(G307,CATEGORÍAS!$A$4:$C$100,3,FALSE()),"")</f>
        <v>Viajes</v>
      </c>
      <c r="J307" s="49"/>
      <c r="K307" s="50" t="s">
        <v>478</v>
      </c>
    </row>
    <row r="308" customFormat="false" ht="15" hidden="false" customHeight="false" outlineLevel="0" collapsed="false">
      <c r="A308" s="46" t="n">
        <v>46024</v>
      </c>
      <c r="B308" s="47" t="n">
        <f aca="false">DATE(YEAR(A308),MONTH(A308),1)</f>
        <v>46023</v>
      </c>
      <c r="C308" s="5" t="s">
        <v>91</v>
      </c>
      <c r="D308" s="5" t="s">
        <v>180</v>
      </c>
      <c r="E308" s="48" t="n">
        <v>-300</v>
      </c>
      <c r="F308" s="48" t="n">
        <v>4781.77</v>
      </c>
      <c r="G308" s="49" t="s">
        <v>181</v>
      </c>
      <c r="H308" s="27" t="str">
        <f aca="false">IFERROR(VLOOKUP(G308,CATEGORÍAS!$A$4:$C$100,2,FALSE()),"Por revisar")</f>
        <v>Traspaso</v>
      </c>
      <c r="I308" s="27" t="str">
        <f aca="false">IFERROR(VLOOKUP(G308,CATEGORÍAS!$A$4:$C$100,3,FALSE()),"")</f>
        <v>Traspasos</v>
      </c>
      <c r="J308" s="49"/>
      <c r="K308" s="50" t="s">
        <v>479</v>
      </c>
    </row>
    <row r="309" customFormat="false" ht="15" hidden="false" customHeight="false" outlineLevel="0" collapsed="false">
      <c r="A309" s="46" t="n">
        <v>46024</v>
      </c>
      <c r="B309" s="47" t="n">
        <f aca="false">DATE(YEAR(A309),MONTH(A309),1)</f>
        <v>46023</v>
      </c>
      <c r="C309" s="5" t="s">
        <v>91</v>
      </c>
      <c r="D309" s="5" t="s">
        <v>183</v>
      </c>
      <c r="E309" s="48" t="n">
        <v>-480</v>
      </c>
      <c r="F309" s="48" t="n">
        <v>4301.77</v>
      </c>
      <c r="G309" s="49" t="s">
        <v>181</v>
      </c>
      <c r="H309" s="27" t="str">
        <f aca="false">IFERROR(VLOOKUP(G309,CATEGORÍAS!$A$4:$C$100,2,FALSE()),"Por revisar")</f>
        <v>Traspaso</v>
      </c>
      <c r="I309" s="27" t="str">
        <f aca="false">IFERROR(VLOOKUP(G309,CATEGORÍAS!$A$4:$C$100,3,FALSE()),"")</f>
        <v>Traspasos</v>
      </c>
      <c r="J309" s="49"/>
      <c r="K309" s="50" t="s">
        <v>480</v>
      </c>
    </row>
    <row r="310" customFormat="false" ht="15" hidden="false" customHeight="false" outlineLevel="0" collapsed="false">
      <c r="A310" s="46" t="n">
        <v>46024</v>
      </c>
      <c r="B310" s="47" t="n">
        <f aca="false">DATE(YEAR(A310),MONTH(A310),1)</f>
        <v>46023</v>
      </c>
      <c r="C310" s="5" t="s">
        <v>93</v>
      </c>
      <c r="D310" s="5" t="s">
        <v>185</v>
      </c>
      <c r="E310" s="48" t="n">
        <v>300</v>
      </c>
      <c r="F310" s="48" t="n">
        <v>53298.69</v>
      </c>
      <c r="G310" s="49" t="s">
        <v>181</v>
      </c>
      <c r="H310" s="27" t="str">
        <f aca="false">IFERROR(VLOOKUP(G310,CATEGORÍAS!$A$4:$C$100,2,FALSE()),"Por revisar")</f>
        <v>Traspaso</v>
      </c>
      <c r="I310" s="27" t="str">
        <f aca="false">IFERROR(VLOOKUP(G310,CATEGORÍAS!$A$4:$C$100,3,FALSE()),"")</f>
        <v>Traspasos</v>
      </c>
      <c r="J310" s="49"/>
      <c r="K310" s="50" t="s">
        <v>481</v>
      </c>
    </row>
    <row r="311" customFormat="false" ht="15" hidden="false" customHeight="false" outlineLevel="0" collapsed="false">
      <c r="A311" s="46" t="n">
        <v>46024</v>
      </c>
      <c r="B311" s="47" t="n">
        <f aca="false">DATE(YEAR(A311),MONTH(A311),1)</f>
        <v>46023</v>
      </c>
      <c r="C311" s="5" t="s">
        <v>92</v>
      </c>
      <c r="D311" s="5" t="s">
        <v>185</v>
      </c>
      <c r="E311" s="48" t="n">
        <v>480</v>
      </c>
      <c r="F311" s="48" t="n">
        <v>1584.2</v>
      </c>
      <c r="G311" s="49" t="s">
        <v>181</v>
      </c>
      <c r="H311" s="27" t="str">
        <f aca="false">IFERROR(VLOOKUP(G311,CATEGORÍAS!$A$4:$C$100,2,FALSE()),"Por revisar")</f>
        <v>Traspaso</v>
      </c>
      <c r="I311" s="27" t="str">
        <f aca="false">IFERROR(VLOOKUP(G311,CATEGORÍAS!$A$4:$C$100,3,FALSE()),"")</f>
        <v>Traspasos</v>
      </c>
      <c r="J311" s="49"/>
      <c r="K311" s="50" t="s">
        <v>482</v>
      </c>
    </row>
    <row r="312" customFormat="false" ht="15" hidden="false" customHeight="false" outlineLevel="0" collapsed="false">
      <c r="A312" s="46" t="n">
        <v>46023</v>
      </c>
      <c r="B312" s="47" t="n">
        <f aca="false">DATE(YEAR(A312),MONTH(A312),1)</f>
        <v>46023</v>
      </c>
      <c r="C312" s="5" t="s">
        <v>120</v>
      </c>
      <c r="D312" s="5" t="s">
        <v>135</v>
      </c>
      <c r="E312" s="48" t="n">
        <v>-28.89</v>
      </c>
      <c r="F312" s="5"/>
      <c r="G312" s="49" t="s">
        <v>136</v>
      </c>
      <c r="H312" s="27" t="str">
        <f aca="false">IFERROR(VLOOKUP(G312,CATEGORÍAS!$A$4:$C$100,2,FALSE()),"Por revisar")</f>
        <v>Gasto</v>
      </c>
      <c r="I312" s="27" t="str">
        <f aca="false">IFERROR(VLOOKUP(G312,CATEGORÍAS!$A$4:$C$100,3,FALSE()),"")</f>
        <v>Personal</v>
      </c>
      <c r="J312" s="49"/>
      <c r="K312" s="50" t="s">
        <v>483</v>
      </c>
    </row>
    <row r="313" customFormat="false" ht="15" hidden="false" customHeight="false" outlineLevel="0" collapsed="false">
      <c r="A313" s="46" t="n">
        <v>46023</v>
      </c>
      <c r="B313" s="47" t="n">
        <f aca="false">DATE(YEAR(A313),MONTH(A313),1)</f>
        <v>46023</v>
      </c>
      <c r="C313" s="5" t="s">
        <v>91</v>
      </c>
      <c r="D313" s="5" t="s">
        <v>484</v>
      </c>
      <c r="E313" s="48" t="n">
        <v>-850</v>
      </c>
      <c r="F313" s="48" t="n">
        <v>5081.77</v>
      </c>
      <c r="G313" s="49" t="s">
        <v>189</v>
      </c>
      <c r="H313" s="27" t="str">
        <f aca="false">IFERROR(VLOOKUP(G313,CATEGORÍAS!$A$4:$C$100,2,FALSE()),"Por revisar")</f>
        <v>Gasto</v>
      </c>
      <c r="I313" s="27" t="str">
        <f aca="false">IFERROR(VLOOKUP(G313,CATEGORÍAS!$A$4:$C$100,3,FALSE()),"")</f>
        <v>Casa</v>
      </c>
      <c r="J313" s="49"/>
      <c r="K313" s="50" t="s">
        <v>485</v>
      </c>
    </row>
    <row r="314" customFormat="false" ht="15" hidden="false" customHeight="false" outlineLevel="0" collapsed="false">
      <c r="A314" s="46" t="n">
        <v>46022</v>
      </c>
      <c r="B314" s="47" t="n">
        <f aca="false">DATE(YEAR(A314),MONTH(A314),1)</f>
        <v>45992</v>
      </c>
      <c r="C314" s="5" t="s">
        <v>93</v>
      </c>
      <c r="D314" s="5" t="s">
        <v>114</v>
      </c>
      <c r="E314" s="48" t="n">
        <v>33.1</v>
      </c>
      <c r="F314" s="48" t="n">
        <v>52998.69</v>
      </c>
      <c r="G314" s="49" t="s">
        <v>115</v>
      </c>
      <c r="H314" s="27" t="str">
        <f aca="false">IFERROR(VLOOKUP(G314,CATEGORÍAS!$A$4:$C$100,2,FALSE()),"Por revisar")</f>
        <v>Ingreso</v>
      </c>
      <c r="I314" s="27" t="str">
        <f aca="false">IFERROR(VLOOKUP(G314,CATEGORÍAS!$A$4:$C$100,3,FALSE()),"")</f>
        <v>Ahorro</v>
      </c>
      <c r="J314" s="49"/>
      <c r="K314" s="50" t="s">
        <v>486</v>
      </c>
    </row>
    <row r="315" customFormat="false" ht="15" hidden="false" customHeight="false" outlineLevel="0" collapsed="false">
      <c r="A315" s="46" t="n">
        <v>46019</v>
      </c>
      <c r="B315" s="47" t="n">
        <f aca="false">DATE(YEAR(A315),MONTH(A315),1)</f>
        <v>45992</v>
      </c>
      <c r="C315" s="5" t="s">
        <v>120</v>
      </c>
      <c r="D315" s="5" t="s">
        <v>121</v>
      </c>
      <c r="E315" s="48" t="n">
        <v>-14.89</v>
      </c>
      <c r="F315" s="5"/>
      <c r="G315" s="49" t="s">
        <v>122</v>
      </c>
      <c r="H315" s="27" t="str">
        <f aca="false">IFERROR(VLOOKUP(G315,CATEGORÍAS!$A$4:$C$100,2,FALSE()),"Por revisar")</f>
        <v>Gasto</v>
      </c>
      <c r="I315" s="27" t="str">
        <f aca="false">IFERROR(VLOOKUP(G315,CATEGORÍAS!$A$4:$C$100,3,FALSE()),"")</f>
        <v>Comida</v>
      </c>
      <c r="J315" s="49"/>
      <c r="K315" s="50" t="s">
        <v>487</v>
      </c>
    </row>
    <row r="316" customFormat="false" ht="15" hidden="false" customHeight="false" outlineLevel="0" collapsed="false">
      <c r="A316" s="46" t="n">
        <v>46019</v>
      </c>
      <c r="B316" s="47" t="n">
        <f aca="false">DATE(YEAR(A316),MONTH(A316),1)</f>
        <v>45992</v>
      </c>
      <c r="C316" s="5" t="s">
        <v>91</v>
      </c>
      <c r="D316" s="5" t="s">
        <v>117</v>
      </c>
      <c r="E316" s="48" t="n">
        <v>2150</v>
      </c>
      <c r="F316" s="48" t="n">
        <v>5931.77</v>
      </c>
      <c r="G316" s="49" t="s">
        <v>118</v>
      </c>
      <c r="H316" s="27" t="str">
        <f aca="false">IFERROR(VLOOKUP(G316,CATEGORÍAS!$A$4:$C$100,2,FALSE()),"Por revisar")</f>
        <v>Ingreso</v>
      </c>
      <c r="I316" s="27" t="str">
        <f aca="false">IFERROR(VLOOKUP(G316,CATEGORÍAS!$A$4:$C$100,3,FALSE()),"")</f>
        <v>Trabajo</v>
      </c>
      <c r="J316" s="49"/>
      <c r="K316" s="50" t="s">
        <v>488</v>
      </c>
    </row>
    <row r="317" customFormat="false" ht="15" hidden="false" customHeight="false" outlineLevel="0" collapsed="false">
      <c r="A317" s="46" t="n">
        <v>46018</v>
      </c>
      <c r="B317" s="47" t="n">
        <f aca="false">DATE(YEAR(A317),MONTH(A317),1)</f>
        <v>45992</v>
      </c>
      <c r="C317" s="5" t="s">
        <v>120</v>
      </c>
      <c r="D317" s="5" t="s">
        <v>127</v>
      </c>
      <c r="E317" s="48" t="n">
        <v>-34.49</v>
      </c>
      <c r="F317" s="5"/>
      <c r="G317" s="49" t="s">
        <v>125</v>
      </c>
      <c r="H317" s="27" t="str">
        <f aca="false">IFERROR(VLOOKUP(G317,CATEGORÍAS!$A$4:$C$100,2,FALSE()),"Por revisar")</f>
        <v>Gasto</v>
      </c>
      <c r="I317" s="27" t="str">
        <f aca="false">IFERROR(VLOOKUP(G317,CATEGORÍAS!$A$4:$C$100,3,FALSE()),"")</f>
        <v>Comida</v>
      </c>
      <c r="J317" s="49"/>
      <c r="K317" s="50" t="s">
        <v>489</v>
      </c>
    </row>
    <row r="318" customFormat="false" ht="15" hidden="false" customHeight="false" outlineLevel="0" collapsed="false">
      <c r="A318" s="46" t="n">
        <v>46017</v>
      </c>
      <c r="B318" s="47" t="n">
        <f aca="false">DATE(YEAR(A318),MONTH(A318),1)</f>
        <v>45992</v>
      </c>
      <c r="C318" s="5" t="s">
        <v>120</v>
      </c>
      <c r="D318" s="5" t="s">
        <v>135</v>
      </c>
      <c r="E318" s="48" t="n">
        <v>-20.2</v>
      </c>
      <c r="F318" s="5"/>
      <c r="G318" s="49" t="s">
        <v>136</v>
      </c>
      <c r="H318" s="27" t="str">
        <f aca="false">IFERROR(VLOOKUP(G318,CATEGORÍAS!$A$4:$C$100,2,FALSE()),"Por revisar")</f>
        <v>Gasto</v>
      </c>
      <c r="I318" s="27" t="str">
        <f aca="false">IFERROR(VLOOKUP(G318,CATEGORÍAS!$A$4:$C$100,3,FALSE()),"")</f>
        <v>Personal</v>
      </c>
      <c r="J318" s="49"/>
      <c r="K318" s="50" t="s">
        <v>490</v>
      </c>
    </row>
    <row r="319" customFormat="false" ht="15" hidden="false" customHeight="false" outlineLevel="0" collapsed="false">
      <c r="A319" s="46" t="n">
        <v>46017</v>
      </c>
      <c r="B319" s="47" t="n">
        <f aca="false">DATE(YEAR(A319),MONTH(A319),1)</f>
        <v>45992</v>
      </c>
      <c r="C319" s="5" t="s">
        <v>120</v>
      </c>
      <c r="D319" s="5" t="s">
        <v>124</v>
      </c>
      <c r="E319" s="48" t="n">
        <v>-7.59</v>
      </c>
      <c r="F319" s="5"/>
      <c r="G319" s="49" t="s">
        <v>125</v>
      </c>
      <c r="H319" s="27" t="str">
        <f aca="false">IFERROR(VLOOKUP(G319,CATEGORÍAS!$A$4:$C$100,2,FALSE()),"Por revisar")</f>
        <v>Gasto</v>
      </c>
      <c r="I319" s="27" t="str">
        <f aca="false">IFERROR(VLOOKUP(G319,CATEGORÍAS!$A$4:$C$100,3,FALSE()),"")</f>
        <v>Comida</v>
      </c>
      <c r="J319" s="49"/>
      <c r="K319" s="50" t="s">
        <v>491</v>
      </c>
    </row>
    <row r="320" customFormat="false" ht="15" hidden="false" customHeight="false" outlineLevel="0" collapsed="false">
      <c r="A320" s="46" t="n">
        <v>46017</v>
      </c>
      <c r="B320" s="47" t="n">
        <f aca="false">DATE(YEAR(A320),MONTH(A320),1)</f>
        <v>45992</v>
      </c>
      <c r="C320" s="5" t="s">
        <v>120</v>
      </c>
      <c r="D320" s="5" t="s">
        <v>144</v>
      </c>
      <c r="E320" s="48" t="n">
        <v>-28.34</v>
      </c>
      <c r="F320" s="5"/>
      <c r="G320" s="49" t="s">
        <v>122</v>
      </c>
      <c r="H320" s="27" t="str">
        <f aca="false">IFERROR(VLOOKUP(G320,CATEGORÍAS!$A$4:$C$100,2,FALSE()),"Por revisar")</f>
        <v>Gasto</v>
      </c>
      <c r="I320" s="27" t="str">
        <f aca="false">IFERROR(VLOOKUP(G320,CATEGORÍAS!$A$4:$C$100,3,FALSE()),"")</f>
        <v>Comida</v>
      </c>
      <c r="J320" s="49"/>
      <c r="K320" s="50" t="s">
        <v>492</v>
      </c>
    </row>
    <row r="321" customFormat="false" ht="15" hidden="false" customHeight="false" outlineLevel="0" collapsed="false">
      <c r="A321" s="46" t="n">
        <v>46016</v>
      </c>
      <c r="B321" s="47" t="n">
        <f aca="false">DATE(YEAR(A321),MONTH(A321),1)</f>
        <v>45992</v>
      </c>
      <c r="C321" s="5" t="s">
        <v>120</v>
      </c>
      <c r="D321" s="5" t="s">
        <v>144</v>
      </c>
      <c r="E321" s="48" t="n">
        <v>-51.04</v>
      </c>
      <c r="F321" s="5"/>
      <c r="G321" s="49" t="s">
        <v>122</v>
      </c>
      <c r="H321" s="27" t="str">
        <f aca="false">IFERROR(VLOOKUP(G321,CATEGORÍAS!$A$4:$C$100,2,FALSE()),"Por revisar")</f>
        <v>Gasto</v>
      </c>
      <c r="I321" s="27" t="str">
        <f aca="false">IFERROR(VLOOKUP(G321,CATEGORÍAS!$A$4:$C$100,3,FALSE()),"")</f>
        <v>Comida</v>
      </c>
      <c r="J321" s="49"/>
      <c r="K321" s="50" t="s">
        <v>493</v>
      </c>
    </row>
    <row r="322" customFormat="false" ht="15" hidden="false" customHeight="false" outlineLevel="0" collapsed="false">
      <c r="A322" s="46" t="n">
        <v>46015</v>
      </c>
      <c r="B322" s="47" t="n">
        <f aca="false">DATE(YEAR(A322),MONTH(A322),1)</f>
        <v>45992</v>
      </c>
      <c r="C322" s="5" t="s">
        <v>91</v>
      </c>
      <c r="D322" s="5" t="s">
        <v>151</v>
      </c>
      <c r="E322" s="48" t="n">
        <v>-31</v>
      </c>
      <c r="F322" s="48" t="n">
        <v>3781.77</v>
      </c>
      <c r="G322" s="49" t="s">
        <v>201</v>
      </c>
      <c r="H322" s="27" t="str">
        <f aca="false">IFERROR(VLOOKUP(G322,CATEGORÍAS!$A$4:$C$100,2,FALSE()),"Por revisar")</f>
        <v>Gasto</v>
      </c>
      <c r="I322" s="27" t="str">
        <f aca="false">IFERROR(VLOOKUP(G322,CATEGORÍAS!$A$4:$C$100,3,FALSE()),"")</f>
        <v>Comida</v>
      </c>
      <c r="J322" s="49"/>
      <c r="K322" s="50" t="s">
        <v>494</v>
      </c>
    </row>
    <row r="323" customFormat="false" ht="15" hidden="false" customHeight="false" outlineLevel="0" collapsed="false">
      <c r="A323" s="46" t="n">
        <v>46013</v>
      </c>
      <c r="B323" s="47" t="n">
        <f aca="false">DATE(YEAR(A323),MONTH(A323),1)</f>
        <v>45992</v>
      </c>
      <c r="C323" s="5" t="s">
        <v>120</v>
      </c>
      <c r="D323" s="5" t="s">
        <v>146</v>
      </c>
      <c r="E323" s="48" t="n">
        <v>-41.07</v>
      </c>
      <c r="F323" s="5"/>
      <c r="G323" s="49" t="s">
        <v>130</v>
      </c>
      <c r="H323" s="27" t="str">
        <f aca="false">IFERROR(VLOOKUP(G323,CATEGORÍAS!$A$4:$C$100,2,FALSE()),"Por revisar")</f>
        <v>Gasto</v>
      </c>
      <c r="I323" s="27" t="str">
        <f aca="false">IFERROR(VLOOKUP(G323,CATEGORÍAS!$A$4:$C$100,3,FALSE()),"")</f>
        <v>Transporte</v>
      </c>
      <c r="J323" s="49"/>
      <c r="K323" s="50" t="s">
        <v>495</v>
      </c>
    </row>
    <row r="324" customFormat="false" ht="15" hidden="false" customHeight="false" outlineLevel="0" collapsed="false">
      <c r="A324" s="46" t="n">
        <v>46011</v>
      </c>
      <c r="B324" s="47" t="n">
        <f aca="false">DATE(YEAR(A324),MONTH(A324),1)</f>
        <v>45992</v>
      </c>
      <c r="C324" s="5" t="s">
        <v>120</v>
      </c>
      <c r="D324" s="5" t="s">
        <v>124</v>
      </c>
      <c r="E324" s="48" t="n">
        <v>-8.19</v>
      </c>
      <c r="F324" s="5"/>
      <c r="G324" s="49" t="s">
        <v>125</v>
      </c>
      <c r="H324" s="27" t="str">
        <f aca="false">IFERROR(VLOOKUP(G324,CATEGORÍAS!$A$4:$C$100,2,FALSE()),"Por revisar")</f>
        <v>Gasto</v>
      </c>
      <c r="I324" s="27" t="str">
        <f aca="false">IFERROR(VLOOKUP(G324,CATEGORÍAS!$A$4:$C$100,3,FALSE()),"")</f>
        <v>Comida</v>
      </c>
      <c r="J324" s="49"/>
      <c r="K324" s="50" t="s">
        <v>496</v>
      </c>
    </row>
    <row r="325" customFormat="false" ht="15" hidden="false" customHeight="false" outlineLevel="0" collapsed="false">
      <c r="A325" s="46" t="n">
        <v>46011</v>
      </c>
      <c r="B325" s="47" t="n">
        <f aca="false">DATE(YEAR(A325),MONTH(A325),1)</f>
        <v>45992</v>
      </c>
      <c r="C325" s="5" t="s">
        <v>91</v>
      </c>
      <c r="D325" s="5" t="s">
        <v>279</v>
      </c>
      <c r="E325" s="48" t="n">
        <v>2150</v>
      </c>
      <c r="F325" s="48" t="n">
        <v>3812.77</v>
      </c>
      <c r="G325" s="49" t="s">
        <v>118</v>
      </c>
      <c r="H325" s="27" t="str">
        <f aca="false">IFERROR(VLOOKUP(G325,CATEGORÍAS!$A$4:$C$100,2,FALSE()),"Por revisar")</f>
        <v>Ingreso</v>
      </c>
      <c r="I325" s="27" t="str">
        <f aca="false">IFERROR(VLOOKUP(G325,CATEGORÍAS!$A$4:$C$100,3,FALSE()),"")</f>
        <v>Trabajo</v>
      </c>
      <c r="J325" s="49"/>
      <c r="K325" s="50" t="s">
        <v>497</v>
      </c>
    </row>
    <row r="326" customFormat="false" ht="15" hidden="false" customHeight="false" outlineLevel="0" collapsed="false">
      <c r="A326" s="46" t="n">
        <v>46009</v>
      </c>
      <c r="B326" s="47" t="n">
        <f aca="false">DATE(YEAR(A326),MONTH(A326),1)</f>
        <v>45992</v>
      </c>
      <c r="C326" s="5" t="s">
        <v>120</v>
      </c>
      <c r="D326" s="5" t="s">
        <v>121</v>
      </c>
      <c r="E326" s="48" t="n">
        <v>-11.12</v>
      </c>
      <c r="F326" s="5"/>
      <c r="G326" s="49" t="s">
        <v>122</v>
      </c>
      <c r="H326" s="27" t="str">
        <f aca="false">IFERROR(VLOOKUP(G326,CATEGORÍAS!$A$4:$C$100,2,FALSE()),"Por revisar")</f>
        <v>Gasto</v>
      </c>
      <c r="I326" s="27" t="str">
        <f aca="false">IFERROR(VLOOKUP(G326,CATEGORÍAS!$A$4:$C$100,3,FALSE()),"")</f>
        <v>Comida</v>
      </c>
      <c r="J326" s="49"/>
      <c r="K326" s="50" t="s">
        <v>498</v>
      </c>
    </row>
    <row r="327" customFormat="false" ht="15" hidden="false" customHeight="false" outlineLevel="0" collapsed="false">
      <c r="A327" s="46" t="n">
        <v>46008</v>
      </c>
      <c r="B327" s="47" t="n">
        <f aca="false">DATE(YEAR(A327),MONTH(A327),1)</f>
        <v>45992</v>
      </c>
      <c r="C327" s="5" t="s">
        <v>120</v>
      </c>
      <c r="D327" s="5" t="s">
        <v>124</v>
      </c>
      <c r="E327" s="48" t="n">
        <v>-5.18</v>
      </c>
      <c r="F327" s="5"/>
      <c r="G327" s="49" t="s">
        <v>125</v>
      </c>
      <c r="H327" s="27" t="str">
        <f aca="false">IFERROR(VLOOKUP(G327,CATEGORÍAS!$A$4:$C$100,2,FALSE()),"Por revisar")</f>
        <v>Gasto</v>
      </c>
      <c r="I327" s="27" t="str">
        <f aca="false">IFERROR(VLOOKUP(G327,CATEGORÍAS!$A$4:$C$100,3,FALSE()),"")</f>
        <v>Comida</v>
      </c>
      <c r="J327" s="49"/>
      <c r="K327" s="50" t="s">
        <v>499</v>
      </c>
    </row>
    <row r="328" customFormat="false" ht="15" hidden="false" customHeight="false" outlineLevel="0" collapsed="false">
      <c r="A328" s="46" t="n">
        <v>46008</v>
      </c>
      <c r="B328" s="47" t="n">
        <f aca="false">DATE(YEAR(A328),MONTH(A328),1)</f>
        <v>45992</v>
      </c>
      <c r="C328" s="5" t="s">
        <v>120</v>
      </c>
      <c r="D328" s="5" t="s">
        <v>124</v>
      </c>
      <c r="E328" s="48" t="n">
        <v>-7.74</v>
      </c>
      <c r="F328" s="5"/>
      <c r="G328" s="49" t="s">
        <v>125</v>
      </c>
      <c r="H328" s="27" t="str">
        <f aca="false">IFERROR(VLOOKUP(G328,CATEGORÍAS!$A$4:$C$100,2,FALSE()),"Por revisar")</f>
        <v>Gasto</v>
      </c>
      <c r="I328" s="27" t="str">
        <f aca="false">IFERROR(VLOOKUP(G328,CATEGORÍAS!$A$4:$C$100,3,FALSE()),"")</f>
        <v>Comida</v>
      </c>
      <c r="J328" s="49"/>
      <c r="K328" s="50" t="s">
        <v>500</v>
      </c>
    </row>
    <row r="329" customFormat="false" ht="15" hidden="false" customHeight="false" outlineLevel="0" collapsed="false">
      <c r="A329" s="46" t="n">
        <v>46007</v>
      </c>
      <c r="B329" s="47" t="n">
        <f aca="false">DATE(YEAR(A329),MONTH(A329),1)</f>
        <v>45992</v>
      </c>
      <c r="C329" s="5" t="s">
        <v>120</v>
      </c>
      <c r="D329" s="5" t="s">
        <v>159</v>
      </c>
      <c r="E329" s="48" t="n">
        <v>-26.87</v>
      </c>
      <c r="F329" s="5"/>
      <c r="G329" s="49" t="s">
        <v>160</v>
      </c>
      <c r="H329" s="27" t="str">
        <f aca="false">IFERROR(VLOOKUP(G329,CATEGORÍAS!$A$4:$C$100,2,FALSE()),"Por revisar")</f>
        <v>Gasto</v>
      </c>
      <c r="I329" s="27" t="str">
        <f aca="false">IFERROR(VLOOKUP(G329,CATEGORÍAS!$A$4:$C$100,3,FALSE()),"")</f>
        <v>Salud</v>
      </c>
      <c r="J329" s="49"/>
      <c r="K329" s="50" t="s">
        <v>501</v>
      </c>
    </row>
    <row r="330" customFormat="false" ht="15" hidden="false" customHeight="false" outlineLevel="0" collapsed="false">
      <c r="A330" s="46" t="n">
        <v>46003</v>
      </c>
      <c r="B330" s="47" t="n">
        <f aca="false">DATE(YEAR(A330),MONTH(A330),1)</f>
        <v>45992</v>
      </c>
      <c r="C330" s="5" t="s">
        <v>91</v>
      </c>
      <c r="D330" s="5" t="s">
        <v>209</v>
      </c>
      <c r="E330" s="48" t="n">
        <v>-32.13</v>
      </c>
      <c r="F330" s="48" t="n">
        <v>1662.77</v>
      </c>
      <c r="G330" s="49" t="s">
        <v>210</v>
      </c>
      <c r="H330" s="27" t="str">
        <f aca="false">IFERROR(VLOOKUP(G330,CATEGORÍAS!$A$4:$C$100,2,FALSE()),"Por revisar")</f>
        <v>Gasto</v>
      </c>
      <c r="I330" s="27" t="str">
        <f aca="false">IFERROR(VLOOKUP(G330,CATEGORÍAS!$A$4:$C$100,3,FALSE()),"")</f>
        <v>Casa</v>
      </c>
      <c r="J330" s="49"/>
      <c r="K330" s="50" t="s">
        <v>502</v>
      </c>
    </row>
    <row r="331" customFormat="false" ht="15" hidden="false" customHeight="false" outlineLevel="0" collapsed="false">
      <c r="A331" s="46" t="n">
        <v>46002</v>
      </c>
      <c r="B331" s="47" t="n">
        <f aca="false">DATE(YEAR(A331),MONTH(A331),1)</f>
        <v>45992</v>
      </c>
      <c r="C331" s="5" t="s">
        <v>120</v>
      </c>
      <c r="D331" s="5" t="s">
        <v>144</v>
      </c>
      <c r="E331" s="48" t="n">
        <v>-52.56</v>
      </c>
      <c r="F331" s="5"/>
      <c r="G331" s="49" t="s">
        <v>122</v>
      </c>
      <c r="H331" s="27" t="str">
        <f aca="false">IFERROR(VLOOKUP(G331,CATEGORÍAS!$A$4:$C$100,2,FALSE()),"Por revisar")</f>
        <v>Gasto</v>
      </c>
      <c r="I331" s="27" t="str">
        <f aca="false">IFERROR(VLOOKUP(G331,CATEGORÍAS!$A$4:$C$100,3,FALSE()),"")</f>
        <v>Comida</v>
      </c>
      <c r="J331" s="49"/>
      <c r="K331" s="50" t="s">
        <v>503</v>
      </c>
    </row>
    <row r="332" customFormat="false" ht="15" hidden="false" customHeight="false" outlineLevel="0" collapsed="false">
      <c r="A332" s="46" t="n">
        <v>46002</v>
      </c>
      <c r="B332" s="47" t="n">
        <f aca="false">DATE(YEAR(A332),MONTH(A332),1)</f>
        <v>45992</v>
      </c>
      <c r="C332" s="5" t="s">
        <v>91</v>
      </c>
      <c r="D332" s="5" t="s">
        <v>132</v>
      </c>
      <c r="E332" s="48" t="n">
        <v>30</v>
      </c>
      <c r="F332" s="48" t="n">
        <v>1694.9</v>
      </c>
      <c r="G332" s="49" t="s">
        <v>201</v>
      </c>
      <c r="H332" s="27" t="str">
        <f aca="false">IFERROR(VLOOKUP(G332,CATEGORÍAS!$A$4:$C$100,2,FALSE()),"Por revisar")</f>
        <v>Gasto</v>
      </c>
      <c r="I332" s="27" t="str">
        <f aca="false">IFERROR(VLOOKUP(G332,CATEGORÍAS!$A$4:$C$100,3,FALSE()),"")</f>
        <v>Comida</v>
      </c>
      <c r="J332" s="49"/>
      <c r="K332" s="50" t="s">
        <v>504</v>
      </c>
    </row>
    <row r="333" customFormat="false" ht="15" hidden="false" customHeight="false" outlineLevel="0" collapsed="false">
      <c r="A333" s="46" t="n">
        <v>46000</v>
      </c>
      <c r="B333" s="47" t="n">
        <f aca="false">DATE(YEAR(A333),MONTH(A333),1)</f>
        <v>45992</v>
      </c>
      <c r="C333" s="5" t="s">
        <v>91</v>
      </c>
      <c r="D333" s="5" t="s">
        <v>153</v>
      </c>
      <c r="E333" s="48" t="n">
        <v>-12.99</v>
      </c>
      <c r="F333" s="48" t="n">
        <v>1664.9</v>
      </c>
      <c r="G333" s="49" t="s">
        <v>154</v>
      </c>
      <c r="H333" s="27" t="str">
        <f aca="false">IFERROR(VLOOKUP(G333,CATEGORÍAS!$A$4:$C$100,2,FALSE()),"Por revisar")</f>
        <v>Gasto</v>
      </c>
      <c r="I333" s="27" t="str">
        <f aca="false">IFERROR(VLOOKUP(G333,CATEGORÍAS!$A$4:$C$100,3,FALSE()),"")</f>
        <v>Personal</v>
      </c>
      <c r="J333" s="49"/>
      <c r="K333" s="50" t="s">
        <v>505</v>
      </c>
    </row>
    <row r="334" customFormat="false" ht="15" hidden="false" customHeight="false" outlineLevel="0" collapsed="false">
      <c r="A334" s="46" t="n">
        <v>45999</v>
      </c>
      <c r="B334" s="47" t="n">
        <f aca="false">DATE(YEAR(A334),MONTH(A334),1)</f>
        <v>45992</v>
      </c>
      <c r="C334" s="5" t="s">
        <v>91</v>
      </c>
      <c r="D334" s="5" t="s">
        <v>156</v>
      </c>
      <c r="E334" s="48" t="n">
        <v>-58.18</v>
      </c>
      <c r="F334" s="48" t="n">
        <v>1677.89</v>
      </c>
      <c r="G334" s="49" t="s">
        <v>157</v>
      </c>
      <c r="H334" s="27" t="str">
        <f aca="false">IFERROR(VLOOKUP(G334,CATEGORÍAS!$A$4:$C$100,2,FALSE()),"Por revisar")</f>
        <v>Gasto</v>
      </c>
      <c r="I334" s="27" t="str">
        <f aca="false">IFERROR(VLOOKUP(G334,CATEGORÍAS!$A$4:$C$100,3,FALSE()),"")</f>
        <v>Casa</v>
      </c>
      <c r="J334" s="49"/>
      <c r="K334" s="50" t="s">
        <v>506</v>
      </c>
    </row>
    <row r="335" customFormat="false" ht="15" hidden="false" customHeight="false" outlineLevel="0" collapsed="false">
      <c r="A335" s="46" t="n">
        <v>45998</v>
      </c>
      <c r="B335" s="47" t="n">
        <f aca="false">DATE(YEAR(A335),MONTH(A335),1)</f>
        <v>45992</v>
      </c>
      <c r="C335" s="5" t="s">
        <v>120</v>
      </c>
      <c r="D335" s="5" t="s">
        <v>173</v>
      </c>
      <c r="E335" s="48" t="n">
        <v>-12.9</v>
      </c>
      <c r="F335" s="5"/>
      <c r="G335" s="49" t="s">
        <v>174</v>
      </c>
      <c r="H335" s="27" t="str">
        <f aca="false">IFERROR(VLOOKUP(G335,CATEGORÍAS!$A$4:$C$100,2,FALSE()),"Por revisar")</f>
        <v>Gasto</v>
      </c>
      <c r="I335" s="27" t="str">
        <f aca="false">IFERROR(VLOOKUP(G335,CATEGORÍAS!$A$4:$C$100,3,FALSE()),"")</f>
        <v>Ocio</v>
      </c>
      <c r="J335" s="49"/>
      <c r="K335" s="50" t="s">
        <v>507</v>
      </c>
    </row>
    <row r="336" customFormat="false" ht="15" hidden="false" customHeight="false" outlineLevel="0" collapsed="false">
      <c r="A336" s="46" t="n">
        <v>45997</v>
      </c>
      <c r="B336" s="47" t="n">
        <f aca="false">DATE(YEAR(A336),MONTH(A336),1)</f>
        <v>45992</v>
      </c>
      <c r="C336" s="5" t="s">
        <v>91</v>
      </c>
      <c r="D336" s="5" t="s">
        <v>164</v>
      </c>
      <c r="E336" s="48" t="n">
        <v>-14.95</v>
      </c>
      <c r="F336" s="48" t="n">
        <v>1736.07</v>
      </c>
      <c r="G336" s="49" t="s">
        <v>165</v>
      </c>
      <c r="H336" s="27" t="str">
        <f aca="false">IFERROR(VLOOKUP(G336,CATEGORÍAS!$A$4:$C$100,2,FALSE()),"Por revisar")</f>
        <v>Gasto</v>
      </c>
      <c r="I336" s="27" t="str">
        <f aca="false">IFERROR(VLOOKUP(G336,CATEGORÍAS!$A$4:$C$100,3,FALSE()),"")</f>
        <v>Personal</v>
      </c>
      <c r="J336" s="49"/>
      <c r="K336" s="50" t="s">
        <v>508</v>
      </c>
    </row>
    <row r="337" customFormat="false" ht="15" hidden="false" customHeight="false" outlineLevel="0" collapsed="false">
      <c r="A337" s="46" t="n">
        <v>45996</v>
      </c>
      <c r="B337" s="47" t="n">
        <f aca="false">DATE(YEAR(A337),MONTH(A337),1)</f>
        <v>45992</v>
      </c>
      <c r="C337" s="5" t="s">
        <v>91</v>
      </c>
      <c r="D337" s="5" t="s">
        <v>167</v>
      </c>
      <c r="E337" s="48" t="n">
        <v>-39.9</v>
      </c>
      <c r="F337" s="48" t="n">
        <v>1751.02</v>
      </c>
      <c r="G337" s="49" t="s">
        <v>168</v>
      </c>
      <c r="H337" s="27" t="str">
        <f aca="false">IFERROR(VLOOKUP(G337,CATEGORÍAS!$A$4:$C$100,2,FALSE()),"Por revisar")</f>
        <v>Gasto</v>
      </c>
      <c r="I337" s="27" t="str">
        <f aca="false">IFERROR(VLOOKUP(G337,CATEGORÍAS!$A$4:$C$100,3,FALSE()),"")</f>
        <v>Casa</v>
      </c>
      <c r="J337" s="49"/>
      <c r="K337" s="50" t="s">
        <v>509</v>
      </c>
    </row>
    <row r="338" customFormat="false" ht="15" hidden="false" customHeight="false" outlineLevel="0" collapsed="false">
      <c r="A338" s="46" t="n">
        <v>45996</v>
      </c>
      <c r="B338" s="47" t="n">
        <f aca="false">DATE(YEAR(A338),MONTH(A338),1)</f>
        <v>45992</v>
      </c>
      <c r="C338" s="5" t="s">
        <v>92</v>
      </c>
      <c r="D338" s="5" t="s">
        <v>170</v>
      </c>
      <c r="E338" s="48" t="n">
        <v>-490.06</v>
      </c>
      <c r="F338" s="48" t="n">
        <v>1104.2</v>
      </c>
      <c r="G338" s="49" t="s">
        <v>171</v>
      </c>
      <c r="H338" s="27" t="str">
        <f aca="false">IFERROR(VLOOKUP(G338,CATEGORÍAS!$A$4:$C$100,2,FALSE()),"Por revisar")</f>
        <v>Traspaso</v>
      </c>
      <c r="I338" s="27" t="str">
        <f aca="false">IFERROR(VLOOKUP(G338,CATEGORÍAS!$A$4:$C$100,3,FALSE()),"")</f>
        <v>Traspasos</v>
      </c>
      <c r="J338" s="49"/>
      <c r="K338" s="50" t="s">
        <v>510</v>
      </c>
    </row>
    <row r="339" customFormat="false" ht="15" hidden="false" customHeight="false" outlineLevel="0" collapsed="false">
      <c r="A339" s="46" t="n">
        <v>45995</v>
      </c>
      <c r="B339" s="47" t="n">
        <f aca="false">DATE(YEAR(A339),MONTH(A339),1)</f>
        <v>45992</v>
      </c>
      <c r="C339" s="5" t="s">
        <v>120</v>
      </c>
      <c r="D339" s="5" t="s">
        <v>127</v>
      </c>
      <c r="E339" s="48" t="n">
        <v>-36.02</v>
      </c>
      <c r="F339" s="5"/>
      <c r="G339" s="49" t="s">
        <v>125</v>
      </c>
      <c r="H339" s="27" t="str">
        <f aca="false">IFERROR(VLOOKUP(G339,CATEGORÍAS!$A$4:$C$100,2,FALSE()),"Por revisar")</f>
        <v>Gasto</v>
      </c>
      <c r="I339" s="27" t="str">
        <f aca="false">IFERROR(VLOOKUP(G339,CATEGORÍAS!$A$4:$C$100,3,FALSE()),"")</f>
        <v>Comida</v>
      </c>
      <c r="J339" s="49"/>
      <c r="K339" s="50" t="s">
        <v>511</v>
      </c>
    </row>
    <row r="340" customFormat="false" ht="15" hidden="false" customHeight="false" outlineLevel="0" collapsed="false">
      <c r="A340" s="46" t="n">
        <v>45994</v>
      </c>
      <c r="B340" s="47" t="n">
        <f aca="false">DATE(YEAR(A340),MONTH(A340),1)</f>
        <v>45992</v>
      </c>
      <c r="C340" s="5" t="s">
        <v>120</v>
      </c>
      <c r="D340" s="5" t="s">
        <v>124</v>
      </c>
      <c r="E340" s="48" t="n">
        <v>-5.22</v>
      </c>
      <c r="F340" s="5"/>
      <c r="G340" s="49" t="s">
        <v>125</v>
      </c>
      <c r="H340" s="27" t="str">
        <f aca="false">IFERROR(VLOOKUP(G340,CATEGORÍAS!$A$4:$C$100,2,FALSE()),"Por revisar")</f>
        <v>Gasto</v>
      </c>
      <c r="I340" s="27" t="str">
        <f aca="false">IFERROR(VLOOKUP(G340,CATEGORÍAS!$A$4:$C$100,3,FALSE()),"")</f>
        <v>Comida</v>
      </c>
      <c r="J340" s="49"/>
      <c r="K340" s="50" t="s">
        <v>512</v>
      </c>
    </row>
    <row r="341" customFormat="false" ht="15" hidden="false" customHeight="false" outlineLevel="0" collapsed="false">
      <c r="A341" s="46" t="n">
        <v>45994</v>
      </c>
      <c r="B341" s="47" t="n">
        <f aca="false">DATE(YEAR(A341),MONTH(A341),1)</f>
        <v>45992</v>
      </c>
      <c r="C341" s="5" t="s">
        <v>91</v>
      </c>
      <c r="D341" s="5" t="s">
        <v>177</v>
      </c>
      <c r="E341" s="48" t="n">
        <v>-150</v>
      </c>
      <c r="F341" s="48" t="n">
        <v>1790.92</v>
      </c>
      <c r="G341" s="49" t="s">
        <v>178</v>
      </c>
      <c r="H341" s="27" t="str">
        <f aca="false">IFERROR(VLOOKUP(G341,CATEGORÍAS!$A$4:$C$100,2,FALSE()),"Por revisar")</f>
        <v>Gasto</v>
      </c>
      <c r="I341" s="27" t="str">
        <f aca="false">IFERROR(VLOOKUP(G341,CATEGORÍAS!$A$4:$C$100,3,FALSE()),"")</f>
        <v>Viajes</v>
      </c>
      <c r="J341" s="49"/>
      <c r="K341" s="50" t="s">
        <v>513</v>
      </c>
    </row>
    <row r="342" customFormat="false" ht="15" hidden="false" customHeight="false" outlineLevel="0" collapsed="false">
      <c r="A342" s="46" t="n">
        <v>45993</v>
      </c>
      <c r="B342" s="47" t="n">
        <f aca="false">DATE(YEAR(A342),MONTH(A342),1)</f>
        <v>45992</v>
      </c>
      <c r="C342" s="5" t="s">
        <v>120</v>
      </c>
      <c r="D342" s="5" t="s">
        <v>144</v>
      </c>
      <c r="E342" s="48" t="n">
        <v>-57.1</v>
      </c>
      <c r="F342" s="5"/>
      <c r="G342" s="49" t="s">
        <v>122</v>
      </c>
      <c r="H342" s="27" t="str">
        <f aca="false">IFERROR(VLOOKUP(G342,CATEGORÍAS!$A$4:$C$100,2,FALSE()),"Por revisar")</f>
        <v>Gasto</v>
      </c>
      <c r="I342" s="27" t="str">
        <f aca="false">IFERROR(VLOOKUP(G342,CATEGORÍAS!$A$4:$C$100,3,FALSE()),"")</f>
        <v>Comida</v>
      </c>
      <c r="J342" s="49"/>
      <c r="K342" s="50" t="s">
        <v>514</v>
      </c>
    </row>
    <row r="343" customFormat="false" ht="15" hidden="false" customHeight="false" outlineLevel="0" collapsed="false">
      <c r="A343" s="46" t="n">
        <v>45993</v>
      </c>
      <c r="B343" s="47" t="n">
        <f aca="false">DATE(YEAR(A343),MONTH(A343),1)</f>
        <v>45992</v>
      </c>
      <c r="C343" s="5" t="s">
        <v>91</v>
      </c>
      <c r="D343" s="5" t="s">
        <v>180</v>
      </c>
      <c r="E343" s="48" t="n">
        <v>-300</v>
      </c>
      <c r="F343" s="48" t="n">
        <v>2420.92</v>
      </c>
      <c r="G343" s="49" t="s">
        <v>181</v>
      </c>
      <c r="H343" s="27" t="str">
        <f aca="false">IFERROR(VLOOKUP(G343,CATEGORÍAS!$A$4:$C$100,2,FALSE()),"Por revisar")</f>
        <v>Traspaso</v>
      </c>
      <c r="I343" s="27" t="str">
        <f aca="false">IFERROR(VLOOKUP(G343,CATEGORÍAS!$A$4:$C$100,3,FALSE()),"")</f>
        <v>Traspasos</v>
      </c>
      <c r="J343" s="49"/>
      <c r="K343" s="50" t="s">
        <v>515</v>
      </c>
    </row>
    <row r="344" customFormat="false" ht="15" hidden="false" customHeight="false" outlineLevel="0" collapsed="false">
      <c r="A344" s="46" t="n">
        <v>45993</v>
      </c>
      <c r="B344" s="47" t="n">
        <f aca="false">DATE(YEAR(A344),MONTH(A344),1)</f>
        <v>45992</v>
      </c>
      <c r="C344" s="5" t="s">
        <v>91</v>
      </c>
      <c r="D344" s="5" t="s">
        <v>183</v>
      </c>
      <c r="E344" s="48" t="n">
        <v>-480</v>
      </c>
      <c r="F344" s="48" t="n">
        <v>1940.92</v>
      </c>
      <c r="G344" s="49" t="s">
        <v>181</v>
      </c>
      <c r="H344" s="27" t="str">
        <f aca="false">IFERROR(VLOOKUP(G344,CATEGORÍAS!$A$4:$C$100,2,FALSE()),"Por revisar")</f>
        <v>Traspaso</v>
      </c>
      <c r="I344" s="27" t="str">
        <f aca="false">IFERROR(VLOOKUP(G344,CATEGORÍAS!$A$4:$C$100,3,FALSE()),"")</f>
        <v>Traspasos</v>
      </c>
      <c r="J344" s="49"/>
      <c r="K344" s="50" t="s">
        <v>516</v>
      </c>
    </row>
    <row r="345" customFormat="false" ht="15" hidden="false" customHeight="false" outlineLevel="0" collapsed="false">
      <c r="A345" s="46" t="n">
        <v>45993</v>
      </c>
      <c r="B345" s="47" t="n">
        <f aca="false">DATE(YEAR(A345),MONTH(A345),1)</f>
        <v>45992</v>
      </c>
      <c r="C345" s="5" t="s">
        <v>93</v>
      </c>
      <c r="D345" s="5" t="s">
        <v>185</v>
      </c>
      <c r="E345" s="48" t="n">
        <v>300</v>
      </c>
      <c r="F345" s="48" t="n">
        <v>52965.59</v>
      </c>
      <c r="G345" s="49" t="s">
        <v>181</v>
      </c>
      <c r="H345" s="27" t="str">
        <f aca="false">IFERROR(VLOOKUP(G345,CATEGORÍAS!$A$4:$C$100,2,FALSE()),"Por revisar")</f>
        <v>Traspaso</v>
      </c>
      <c r="I345" s="27" t="str">
        <f aca="false">IFERROR(VLOOKUP(G345,CATEGORÍAS!$A$4:$C$100,3,FALSE()),"")</f>
        <v>Traspasos</v>
      </c>
      <c r="J345" s="49"/>
      <c r="K345" s="50" t="s">
        <v>517</v>
      </c>
    </row>
    <row r="346" customFormat="false" ht="15" hidden="false" customHeight="false" outlineLevel="0" collapsed="false">
      <c r="A346" s="46" t="n">
        <v>45993</v>
      </c>
      <c r="B346" s="47" t="n">
        <f aca="false">DATE(YEAR(A346),MONTH(A346),1)</f>
        <v>45992</v>
      </c>
      <c r="C346" s="5" t="s">
        <v>92</v>
      </c>
      <c r="D346" s="5" t="s">
        <v>185</v>
      </c>
      <c r="E346" s="48" t="n">
        <v>480</v>
      </c>
      <c r="F346" s="48" t="n">
        <v>1594.26</v>
      </c>
      <c r="G346" s="49" t="s">
        <v>181</v>
      </c>
      <c r="H346" s="27" t="str">
        <f aca="false">IFERROR(VLOOKUP(G346,CATEGORÍAS!$A$4:$C$100,2,FALSE()),"Por revisar")</f>
        <v>Traspaso</v>
      </c>
      <c r="I346" s="27" t="str">
        <f aca="false">IFERROR(VLOOKUP(G346,CATEGORÍAS!$A$4:$C$100,3,FALSE()),"")</f>
        <v>Traspasos</v>
      </c>
      <c r="J346" s="49"/>
      <c r="K346" s="50" t="s">
        <v>518</v>
      </c>
    </row>
    <row r="347" customFormat="false" ht="15" hidden="false" customHeight="false" outlineLevel="0" collapsed="false">
      <c r="A347" s="46" t="n">
        <v>45992</v>
      </c>
      <c r="B347" s="47" t="n">
        <f aca="false">DATE(YEAR(A347),MONTH(A347),1)</f>
        <v>45992</v>
      </c>
      <c r="C347" s="5" t="s">
        <v>120</v>
      </c>
      <c r="D347" s="5" t="s">
        <v>129</v>
      </c>
      <c r="E347" s="48" t="n">
        <v>-20</v>
      </c>
      <c r="F347" s="5"/>
      <c r="G347" s="49" t="s">
        <v>130</v>
      </c>
      <c r="H347" s="27" t="str">
        <f aca="false">IFERROR(VLOOKUP(G347,CATEGORÍAS!$A$4:$C$100,2,FALSE()),"Por revisar")</f>
        <v>Gasto</v>
      </c>
      <c r="I347" s="27" t="str">
        <f aca="false">IFERROR(VLOOKUP(G347,CATEGORÍAS!$A$4:$C$100,3,FALSE()),"")</f>
        <v>Transporte</v>
      </c>
      <c r="J347" s="49"/>
      <c r="K347" s="50" t="s">
        <v>519</v>
      </c>
    </row>
    <row r="348" customFormat="false" ht="15" hidden="false" customHeight="false" outlineLevel="0" collapsed="false">
      <c r="A348" s="46" t="n">
        <v>45992</v>
      </c>
      <c r="B348" s="47" t="n">
        <f aca="false">DATE(YEAR(A348),MONTH(A348),1)</f>
        <v>45992</v>
      </c>
      <c r="C348" s="5" t="s">
        <v>91</v>
      </c>
      <c r="D348" s="5" t="s">
        <v>520</v>
      </c>
      <c r="E348" s="48" t="n">
        <v>-850</v>
      </c>
      <c r="F348" s="48" t="n">
        <v>2720.92</v>
      </c>
      <c r="G348" s="49" t="s">
        <v>189</v>
      </c>
      <c r="H348" s="27" t="str">
        <f aca="false">IFERROR(VLOOKUP(G348,CATEGORÍAS!$A$4:$C$100,2,FALSE()),"Por revisar")</f>
        <v>Gasto</v>
      </c>
      <c r="I348" s="27" t="str">
        <f aca="false">IFERROR(VLOOKUP(G348,CATEGORÍAS!$A$4:$C$100,3,FALSE()),"")</f>
        <v>Casa</v>
      </c>
      <c r="J348" s="49"/>
      <c r="K348" s="50" t="s">
        <v>521</v>
      </c>
    </row>
    <row r="349" customFormat="false" ht="15" hidden="false" customHeight="false" outlineLevel="0" collapsed="false">
      <c r="A349" s="46" t="n">
        <v>45991</v>
      </c>
      <c r="B349" s="47" t="n">
        <f aca="false">DATE(YEAR(A349),MONTH(A349),1)</f>
        <v>45962</v>
      </c>
      <c r="C349" s="5" t="s">
        <v>93</v>
      </c>
      <c r="D349" s="5" t="s">
        <v>114</v>
      </c>
      <c r="E349" s="48" t="n">
        <v>32.9</v>
      </c>
      <c r="F349" s="48" t="n">
        <v>52665.59</v>
      </c>
      <c r="G349" s="49" t="s">
        <v>115</v>
      </c>
      <c r="H349" s="27" t="str">
        <f aca="false">IFERROR(VLOOKUP(G349,CATEGORÍAS!$A$4:$C$100,2,FALSE()),"Por revisar")</f>
        <v>Ingreso</v>
      </c>
      <c r="I349" s="27" t="str">
        <f aca="false">IFERROR(VLOOKUP(G349,CATEGORÍAS!$A$4:$C$100,3,FALSE()),"")</f>
        <v>Ahorro</v>
      </c>
      <c r="J349" s="49"/>
      <c r="K349" s="50" t="s">
        <v>522</v>
      </c>
    </row>
    <row r="350" customFormat="false" ht="15" hidden="false" customHeight="false" outlineLevel="0" collapsed="false">
      <c r="A350" s="46" t="n">
        <v>45989</v>
      </c>
      <c r="B350" s="47" t="n">
        <f aca="false">DATE(YEAR(A350),MONTH(A350),1)</f>
        <v>45962</v>
      </c>
      <c r="C350" s="5" t="s">
        <v>91</v>
      </c>
      <c r="D350" s="5" t="s">
        <v>117</v>
      </c>
      <c r="E350" s="48" t="n">
        <v>2150</v>
      </c>
      <c r="F350" s="48" t="n">
        <v>3570.92</v>
      </c>
      <c r="G350" s="49" t="s">
        <v>118</v>
      </c>
      <c r="H350" s="27" t="str">
        <f aca="false">IFERROR(VLOOKUP(G350,CATEGORÍAS!$A$4:$C$100,2,FALSE()),"Por revisar")</f>
        <v>Ingreso</v>
      </c>
      <c r="I350" s="27" t="str">
        <f aca="false">IFERROR(VLOOKUP(G350,CATEGORÍAS!$A$4:$C$100,3,FALSE()),"")</f>
        <v>Trabajo</v>
      </c>
      <c r="J350" s="49"/>
      <c r="K350" s="50" t="s">
        <v>523</v>
      </c>
    </row>
    <row r="351" customFormat="false" ht="15" hidden="false" customHeight="false" outlineLevel="0" collapsed="false">
      <c r="A351" s="46" t="n">
        <v>45988</v>
      </c>
      <c r="B351" s="47" t="n">
        <f aca="false">DATE(YEAR(A351),MONTH(A351),1)</f>
        <v>45962</v>
      </c>
      <c r="C351" s="5" t="s">
        <v>120</v>
      </c>
      <c r="D351" s="5" t="s">
        <v>159</v>
      </c>
      <c r="E351" s="48" t="n">
        <v>-22.02</v>
      </c>
      <c r="F351" s="5"/>
      <c r="G351" s="49" t="s">
        <v>160</v>
      </c>
      <c r="H351" s="27" t="str">
        <f aca="false">IFERROR(VLOOKUP(G351,CATEGORÍAS!$A$4:$C$100,2,FALSE()),"Por revisar")</f>
        <v>Gasto</v>
      </c>
      <c r="I351" s="27" t="str">
        <f aca="false">IFERROR(VLOOKUP(G351,CATEGORÍAS!$A$4:$C$100,3,FALSE()),"")</f>
        <v>Salud</v>
      </c>
      <c r="J351" s="49"/>
      <c r="K351" s="50" t="s">
        <v>524</v>
      </c>
    </row>
    <row r="352" customFormat="false" ht="15" hidden="false" customHeight="false" outlineLevel="0" collapsed="false">
      <c r="A352" s="46" t="n">
        <v>45987</v>
      </c>
      <c r="B352" s="47" t="n">
        <f aca="false">DATE(YEAR(A352),MONTH(A352),1)</f>
        <v>45962</v>
      </c>
      <c r="C352" s="5" t="s">
        <v>120</v>
      </c>
      <c r="D352" s="5" t="s">
        <v>121</v>
      </c>
      <c r="E352" s="48" t="n">
        <v>-17.06</v>
      </c>
      <c r="F352" s="5"/>
      <c r="G352" s="49" t="s">
        <v>122</v>
      </c>
      <c r="H352" s="27" t="str">
        <f aca="false">IFERROR(VLOOKUP(G352,CATEGORÍAS!$A$4:$C$100,2,FALSE()),"Por revisar")</f>
        <v>Gasto</v>
      </c>
      <c r="I352" s="27" t="str">
        <f aca="false">IFERROR(VLOOKUP(G352,CATEGORÍAS!$A$4:$C$100,3,FALSE()),"")</f>
        <v>Comida</v>
      </c>
      <c r="J352" s="49"/>
      <c r="K352" s="50" t="s">
        <v>525</v>
      </c>
    </row>
    <row r="353" customFormat="false" ht="15" hidden="false" customHeight="false" outlineLevel="0" collapsed="false">
      <c r="A353" s="46" t="n">
        <v>45987</v>
      </c>
      <c r="B353" s="47" t="n">
        <f aca="false">DATE(YEAR(A353),MONTH(A353),1)</f>
        <v>45962</v>
      </c>
      <c r="C353" s="5" t="s">
        <v>120</v>
      </c>
      <c r="D353" s="5" t="s">
        <v>124</v>
      </c>
      <c r="E353" s="48" t="n">
        <v>-5.9</v>
      </c>
      <c r="F353" s="5"/>
      <c r="G353" s="49" t="s">
        <v>125</v>
      </c>
      <c r="H353" s="27" t="str">
        <f aca="false">IFERROR(VLOOKUP(G353,CATEGORÍAS!$A$4:$C$100,2,FALSE()),"Por revisar")</f>
        <v>Gasto</v>
      </c>
      <c r="I353" s="27" t="str">
        <f aca="false">IFERROR(VLOOKUP(G353,CATEGORÍAS!$A$4:$C$100,3,FALSE()),"")</f>
        <v>Comida</v>
      </c>
      <c r="J353" s="49"/>
      <c r="K353" s="50" t="s">
        <v>526</v>
      </c>
    </row>
    <row r="354" customFormat="false" ht="15" hidden="false" customHeight="false" outlineLevel="0" collapsed="false">
      <c r="A354" s="46" t="n">
        <v>45987</v>
      </c>
      <c r="B354" s="47" t="n">
        <f aca="false">DATE(YEAR(A354),MONTH(A354),1)</f>
        <v>45962</v>
      </c>
      <c r="C354" s="5" t="s">
        <v>120</v>
      </c>
      <c r="D354" s="5" t="s">
        <v>121</v>
      </c>
      <c r="E354" s="48" t="n">
        <v>-20.38</v>
      </c>
      <c r="F354" s="5"/>
      <c r="G354" s="49" t="s">
        <v>122</v>
      </c>
      <c r="H354" s="27" t="str">
        <f aca="false">IFERROR(VLOOKUP(G354,CATEGORÍAS!$A$4:$C$100,2,FALSE()),"Por revisar")</f>
        <v>Gasto</v>
      </c>
      <c r="I354" s="27" t="str">
        <f aca="false">IFERROR(VLOOKUP(G354,CATEGORÍAS!$A$4:$C$100,3,FALSE()),"")</f>
        <v>Comida</v>
      </c>
      <c r="J354" s="49"/>
      <c r="K354" s="50" t="s">
        <v>527</v>
      </c>
    </row>
    <row r="355" customFormat="false" ht="15" hidden="false" customHeight="false" outlineLevel="0" collapsed="false">
      <c r="A355" s="46" t="n">
        <v>45985</v>
      </c>
      <c r="B355" s="47" t="n">
        <f aca="false">DATE(YEAR(A355),MONTH(A355),1)</f>
        <v>45962</v>
      </c>
      <c r="C355" s="5" t="s">
        <v>91</v>
      </c>
      <c r="D355" s="5" t="s">
        <v>151</v>
      </c>
      <c r="E355" s="48" t="n">
        <v>27</v>
      </c>
      <c r="F355" s="48" t="n">
        <v>1420.92</v>
      </c>
      <c r="G355" s="49" t="s">
        <v>201</v>
      </c>
      <c r="H355" s="27" t="str">
        <f aca="false">IFERROR(VLOOKUP(G355,CATEGORÍAS!$A$4:$C$100,2,FALSE()),"Por revisar")</f>
        <v>Gasto</v>
      </c>
      <c r="I355" s="27" t="str">
        <f aca="false">IFERROR(VLOOKUP(G355,CATEGORÍAS!$A$4:$C$100,3,FALSE()),"")</f>
        <v>Comida</v>
      </c>
      <c r="J355" s="49"/>
      <c r="K355" s="50" t="s">
        <v>528</v>
      </c>
    </row>
    <row r="356" customFormat="false" ht="15" hidden="false" customHeight="false" outlineLevel="0" collapsed="false">
      <c r="A356" s="46" t="n">
        <v>45983</v>
      </c>
      <c r="B356" s="47" t="n">
        <f aca="false">DATE(YEAR(A356),MONTH(A356),1)</f>
        <v>45962</v>
      </c>
      <c r="C356" s="5" t="s">
        <v>91</v>
      </c>
      <c r="D356" s="5" t="s">
        <v>140</v>
      </c>
      <c r="E356" s="48" t="n">
        <v>-22</v>
      </c>
      <c r="F356" s="48" t="n">
        <v>1393.92</v>
      </c>
      <c r="G356" s="49" t="s">
        <v>141</v>
      </c>
      <c r="H356" s="27" t="str">
        <f aca="false">IFERROR(VLOOKUP(G356,CATEGORÍAS!$A$4:$C$100,2,FALSE()),"Por revisar")</f>
        <v>Gasto</v>
      </c>
      <c r="I356" s="27" t="str">
        <f aca="false">IFERROR(VLOOKUP(G356,CATEGORÍAS!$A$4:$C$100,3,FALSE()),"")</f>
        <v>Personal</v>
      </c>
      <c r="J356" s="49"/>
      <c r="K356" s="50" t="s">
        <v>529</v>
      </c>
    </row>
    <row r="357" customFormat="false" ht="15" hidden="false" customHeight="false" outlineLevel="0" collapsed="false">
      <c r="A357" s="46" t="n">
        <v>45979</v>
      </c>
      <c r="B357" s="47" t="n">
        <f aca="false">DATE(YEAR(A357),MONTH(A357),1)</f>
        <v>45962</v>
      </c>
      <c r="C357" s="5" t="s">
        <v>120</v>
      </c>
      <c r="D357" s="5" t="s">
        <v>144</v>
      </c>
      <c r="E357" s="48" t="n">
        <v>-38.91</v>
      </c>
      <c r="F357" s="5"/>
      <c r="G357" s="49" t="s">
        <v>122</v>
      </c>
      <c r="H357" s="27" t="str">
        <f aca="false">IFERROR(VLOOKUP(G357,CATEGORÍAS!$A$4:$C$100,2,FALSE()),"Por revisar")</f>
        <v>Gasto</v>
      </c>
      <c r="I357" s="27" t="str">
        <f aca="false">IFERROR(VLOOKUP(G357,CATEGORÍAS!$A$4:$C$100,3,FALSE()),"")</f>
        <v>Comida</v>
      </c>
      <c r="J357" s="49"/>
      <c r="K357" s="50" t="s">
        <v>530</v>
      </c>
    </row>
    <row r="358" customFormat="false" ht="15" hidden="false" customHeight="false" outlineLevel="0" collapsed="false">
      <c r="A358" s="46" t="n">
        <v>45978</v>
      </c>
      <c r="B358" s="47" t="n">
        <f aca="false">DATE(YEAR(A358),MONTH(A358),1)</f>
        <v>45962</v>
      </c>
      <c r="C358" s="5" t="s">
        <v>120</v>
      </c>
      <c r="D358" s="5" t="s">
        <v>124</v>
      </c>
      <c r="E358" s="48" t="n">
        <v>-7.48</v>
      </c>
      <c r="F358" s="5"/>
      <c r="G358" s="49" t="s">
        <v>125</v>
      </c>
      <c r="H358" s="27" t="str">
        <f aca="false">IFERROR(VLOOKUP(G358,CATEGORÍAS!$A$4:$C$100,2,FALSE()),"Por revisar")</f>
        <v>Gasto</v>
      </c>
      <c r="I358" s="27" t="str">
        <f aca="false">IFERROR(VLOOKUP(G358,CATEGORÍAS!$A$4:$C$100,3,FALSE()),"")</f>
        <v>Comida</v>
      </c>
      <c r="J358" s="49"/>
      <c r="K358" s="50" t="s">
        <v>531</v>
      </c>
    </row>
    <row r="359" customFormat="false" ht="15" hidden="false" customHeight="false" outlineLevel="0" collapsed="false">
      <c r="A359" s="46" t="n">
        <v>45977</v>
      </c>
      <c r="B359" s="47" t="n">
        <f aca="false">DATE(YEAR(A359),MONTH(A359),1)</f>
        <v>45962</v>
      </c>
      <c r="C359" s="5" t="s">
        <v>120</v>
      </c>
      <c r="D359" s="5" t="s">
        <v>144</v>
      </c>
      <c r="E359" s="48" t="n">
        <v>-55.16</v>
      </c>
      <c r="F359" s="5"/>
      <c r="G359" s="49" t="s">
        <v>122</v>
      </c>
      <c r="H359" s="27" t="str">
        <f aca="false">IFERROR(VLOOKUP(G359,CATEGORÍAS!$A$4:$C$100,2,FALSE()),"Por revisar")</f>
        <v>Gasto</v>
      </c>
      <c r="I359" s="27" t="str">
        <f aca="false">IFERROR(VLOOKUP(G359,CATEGORÍAS!$A$4:$C$100,3,FALSE()),"")</f>
        <v>Comida</v>
      </c>
      <c r="J359" s="49"/>
      <c r="K359" s="50" t="s">
        <v>532</v>
      </c>
    </row>
    <row r="360" customFormat="false" ht="15" hidden="false" customHeight="false" outlineLevel="0" collapsed="false">
      <c r="A360" s="46" t="n">
        <v>45976</v>
      </c>
      <c r="B360" s="47" t="n">
        <f aca="false">DATE(YEAR(A360),MONTH(A360),1)</f>
        <v>45962</v>
      </c>
      <c r="C360" s="5" t="s">
        <v>120</v>
      </c>
      <c r="D360" s="5" t="s">
        <v>129</v>
      </c>
      <c r="E360" s="48" t="n">
        <v>-20</v>
      </c>
      <c r="F360" s="5"/>
      <c r="G360" s="49" t="s">
        <v>130</v>
      </c>
      <c r="H360" s="27" t="str">
        <f aca="false">IFERROR(VLOOKUP(G360,CATEGORÍAS!$A$4:$C$100,2,FALSE()),"Por revisar")</f>
        <v>Gasto</v>
      </c>
      <c r="I360" s="27" t="str">
        <f aca="false">IFERROR(VLOOKUP(G360,CATEGORÍAS!$A$4:$C$100,3,FALSE()),"")</f>
        <v>Transporte</v>
      </c>
      <c r="J360" s="49"/>
      <c r="K360" s="50" t="s">
        <v>533</v>
      </c>
    </row>
    <row r="361" customFormat="false" ht="15" hidden="false" customHeight="false" outlineLevel="0" collapsed="false">
      <c r="A361" s="46" t="n">
        <v>45975</v>
      </c>
      <c r="B361" s="47" t="n">
        <f aca="false">DATE(YEAR(A361),MONTH(A361),1)</f>
        <v>45962</v>
      </c>
      <c r="C361" s="5" t="s">
        <v>120</v>
      </c>
      <c r="D361" s="5" t="s">
        <v>127</v>
      </c>
      <c r="E361" s="48" t="n">
        <v>-42.08</v>
      </c>
      <c r="F361" s="5"/>
      <c r="G361" s="49" t="s">
        <v>125</v>
      </c>
      <c r="H361" s="27" t="str">
        <f aca="false">IFERROR(VLOOKUP(G361,CATEGORÍAS!$A$4:$C$100,2,FALSE()),"Por revisar")</f>
        <v>Gasto</v>
      </c>
      <c r="I361" s="27" t="str">
        <f aca="false">IFERROR(VLOOKUP(G361,CATEGORÍAS!$A$4:$C$100,3,FALSE()),"")</f>
        <v>Comida</v>
      </c>
      <c r="J361" s="49"/>
      <c r="K361" s="50" t="s">
        <v>534</v>
      </c>
    </row>
    <row r="362" customFormat="false" ht="15" hidden="false" customHeight="false" outlineLevel="0" collapsed="false">
      <c r="A362" s="46" t="n">
        <v>45975</v>
      </c>
      <c r="B362" s="47" t="n">
        <f aca="false">DATE(YEAR(A362),MONTH(A362),1)</f>
        <v>45962</v>
      </c>
      <c r="C362" s="5" t="s">
        <v>91</v>
      </c>
      <c r="D362" s="5" t="s">
        <v>353</v>
      </c>
      <c r="E362" s="48" t="n">
        <v>-98.18</v>
      </c>
      <c r="F362" s="48" t="n">
        <v>1415.92</v>
      </c>
      <c r="G362" s="49" t="s">
        <v>354</v>
      </c>
      <c r="H362" s="27" t="str">
        <f aca="false">IFERROR(VLOOKUP(G362,CATEGORÍAS!$A$4:$C$100,2,FALSE()),"Por revisar")</f>
        <v>Gasto</v>
      </c>
      <c r="I362" s="27" t="str">
        <f aca="false">IFERROR(VLOOKUP(G362,CATEGORÍAS!$A$4:$C$100,3,FALSE()),"")</f>
        <v>Personal</v>
      </c>
      <c r="J362" s="49"/>
      <c r="K362" s="50" t="s">
        <v>535</v>
      </c>
    </row>
    <row r="363" customFormat="false" ht="15" hidden="false" customHeight="false" outlineLevel="0" collapsed="false">
      <c r="A363" s="46" t="n">
        <v>45972</v>
      </c>
      <c r="B363" s="47" t="n">
        <f aca="false">DATE(YEAR(A363),MONTH(A363),1)</f>
        <v>45962</v>
      </c>
      <c r="C363" s="5" t="s">
        <v>91</v>
      </c>
      <c r="D363" s="5" t="s">
        <v>151</v>
      </c>
      <c r="E363" s="48" t="n">
        <v>-34</v>
      </c>
      <c r="F363" s="48" t="n">
        <v>1514.1</v>
      </c>
      <c r="G363" s="49" t="s">
        <v>201</v>
      </c>
      <c r="H363" s="27" t="str">
        <f aca="false">IFERROR(VLOOKUP(G363,CATEGORÍAS!$A$4:$C$100,2,FALSE()),"Por revisar")</f>
        <v>Gasto</v>
      </c>
      <c r="I363" s="27" t="str">
        <f aca="false">IFERROR(VLOOKUP(G363,CATEGORÍAS!$A$4:$C$100,3,FALSE()),"")</f>
        <v>Comida</v>
      </c>
      <c r="J363" s="49"/>
      <c r="K363" s="50" t="s">
        <v>536</v>
      </c>
    </row>
    <row r="364" customFormat="false" ht="15" hidden="false" customHeight="false" outlineLevel="0" collapsed="false">
      <c r="A364" s="46" t="n">
        <v>45971</v>
      </c>
      <c r="B364" s="47" t="n">
        <f aca="false">DATE(YEAR(A364),MONTH(A364),1)</f>
        <v>45962</v>
      </c>
      <c r="C364" s="5" t="s">
        <v>120</v>
      </c>
      <c r="D364" s="5" t="s">
        <v>127</v>
      </c>
      <c r="E364" s="48" t="n">
        <v>-33.4</v>
      </c>
      <c r="F364" s="5"/>
      <c r="G364" s="49" t="s">
        <v>125</v>
      </c>
      <c r="H364" s="27" t="str">
        <f aca="false">IFERROR(VLOOKUP(G364,CATEGORÍAS!$A$4:$C$100,2,FALSE()),"Por revisar")</f>
        <v>Gasto</v>
      </c>
      <c r="I364" s="27" t="str">
        <f aca="false">IFERROR(VLOOKUP(G364,CATEGORÍAS!$A$4:$C$100,3,FALSE()),"")</f>
        <v>Comida</v>
      </c>
      <c r="J364" s="49"/>
      <c r="K364" s="50" t="s">
        <v>537</v>
      </c>
    </row>
    <row r="365" customFormat="false" ht="15" hidden="false" customHeight="false" outlineLevel="0" collapsed="false">
      <c r="A365" s="46" t="n">
        <v>45971</v>
      </c>
      <c r="B365" s="47" t="n">
        <f aca="false">DATE(YEAR(A365),MONTH(A365),1)</f>
        <v>45962</v>
      </c>
      <c r="C365" s="5" t="s">
        <v>120</v>
      </c>
      <c r="D365" s="5" t="s">
        <v>124</v>
      </c>
      <c r="E365" s="48" t="n">
        <v>-7.91</v>
      </c>
      <c r="F365" s="5"/>
      <c r="G365" s="49" t="s">
        <v>125</v>
      </c>
      <c r="H365" s="27" t="str">
        <f aca="false">IFERROR(VLOOKUP(G365,CATEGORÍAS!$A$4:$C$100,2,FALSE()),"Por revisar")</f>
        <v>Gasto</v>
      </c>
      <c r="I365" s="27" t="str">
        <f aca="false">IFERROR(VLOOKUP(G365,CATEGORÍAS!$A$4:$C$100,3,FALSE()),"")</f>
        <v>Comida</v>
      </c>
      <c r="J365" s="49"/>
      <c r="K365" s="50" t="s">
        <v>538</v>
      </c>
    </row>
    <row r="366" customFormat="false" ht="15" hidden="false" customHeight="false" outlineLevel="0" collapsed="false">
      <c r="A366" s="46" t="n">
        <v>45970</v>
      </c>
      <c r="B366" s="47" t="n">
        <f aca="false">DATE(YEAR(A366),MONTH(A366),1)</f>
        <v>45962</v>
      </c>
      <c r="C366" s="5" t="s">
        <v>120</v>
      </c>
      <c r="D366" s="5" t="s">
        <v>135</v>
      </c>
      <c r="E366" s="48" t="n">
        <v>-55.36</v>
      </c>
      <c r="F366" s="5"/>
      <c r="G366" s="49" t="s">
        <v>136</v>
      </c>
      <c r="H366" s="27" t="str">
        <f aca="false">IFERROR(VLOOKUP(G366,CATEGORÍAS!$A$4:$C$100,2,FALSE()),"Por revisar")</f>
        <v>Gasto</v>
      </c>
      <c r="I366" s="27" t="str">
        <f aca="false">IFERROR(VLOOKUP(G366,CATEGORÍAS!$A$4:$C$100,3,FALSE()),"")</f>
        <v>Personal</v>
      </c>
      <c r="J366" s="49"/>
      <c r="K366" s="50" t="s">
        <v>539</v>
      </c>
    </row>
    <row r="367" customFormat="false" ht="15" hidden="false" customHeight="false" outlineLevel="0" collapsed="false">
      <c r="A367" s="46" t="n">
        <v>45970</v>
      </c>
      <c r="B367" s="47" t="n">
        <f aca="false">DATE(YEAR(A367),MONTH(A367),1)</f>
        <v>45962</v>
      </c>
      <c r="C367" s="5" t="s">
        <v>120</v>
      </c>
      <c r="D367" s="5" t="s">
        <v>146</v>
      </c>
      <c r="E367" s="48" t="n">
        <v>-44.06</v>
      </c>
      <c r="F367" s="5"/>
      <c r="G367" s="49" t="s">
        <v>130</v>
      </c>
      <c r="H367" s="27" t="str">
        <f aca="false">IFERROR(VLOOKUP(G367,CATEGORÍAS!$A$4:$C$100,2,FALSE()),"Por revisar")</f>
        <v>Gasto</v>
      </c>
      <c r="I367" s="27" t="str">
        <f aca="false">IFERROR(VLOOKUP(G367,CATEGORÍAS!$A$4:$C$100,3,FALSE()),"")</f>
        <v>Transporte</v>
      </c>
      <c r="J367" s="49"/>
      <c r="K367" s="50" t="s">
        <v>540</v>
      </c>
    </row>
    <row r="368" customFormat="false" ht="15" hidden="false" customHeight="false" outlineLevel="0" collapsed="false">
      <c r="A368" s="46" t="n">
        <v>45970</v>
      </c>
      <c r="B368" s="47" t="n">
        <f aca="false">DATE(YEAR(A368),MONTH(A368),1)</f>
        <v>45962</v>
      </c>
      <c r="C368" s="5" t="s">
        <v>91</v>
      </c>
      <c r="D368" s="5" t="s">
        <v>153</v>
      </c>
      <c r="E368" s="48" t="n">
        <v>-12.99</v>
      </c>
      <c r="F368" s="48" t="n">
        <v>1548.1</v>
      </c>
      <c r="G368" s="49" t="s">
        <v>154</v>
      </c>
      <c r="H368" s="27" t="str">
        <f aca="false">IFERROR(VLOOKUP(G368,CATEGORÍAS!$A$4:$C$100,2,FALSE()),"Por revisar")</f>
        <v>Gasto</v>
      </c>
      <c r="I368" s="27" t="str">
        <f aca="false">IFERROR(VLOOKUP(G368,CATEGORÍAS!$A$4:$C$100,3,FALSE()),"")</f>
        <v>Personal</v>
      </c>
      <c r="J368" s="49"/>
      <c r="K368" s="50" t="s">
        <v>541</v>
      </c>
    </row>
    <row r="369" customFormat="false" ht="15" hidden="false" customHeight="false" outlineLevel="0" collapsed="false">
      <c r="A369" s="46" t="n">
        <v>45969</v>
      </c>
      <c r="B369" s="47" t="n">
        <f aca="false">DATE(YEAR(A369),MONTH(A369),1)</f>
        <v>45962</v>
      </c>
      <c r="C369" s="5" t="s">
        <v>91</v>
      </c>
      <c r="D369" s="5" t="s">
        <v>156</v>
      </c>
      <c r="E369" s="48" t="n">
        <v>-50.32</v>
      </c>
      <c r="F369" s="48" t="n">
        <v>1561.09</v>
      </c>
      <c r="G369" s="49" t="s">
        <v>157</v>
      </c>
      <c r="H369" s="27" t="str">
        <f aca="false">IFERROR(VLOOKUP(G369,CATEGORÍAS!$A$4:$C$100,2,FALSE()),"Por revisar")</f>
        <v>Gasto</v>
      </c>
      <c r="I369" s="27" t="str">
        <f aca="false">IFERROR(VLOOKUP(G369,CATEGORÍAS!$A$4:$C$100,3,FALSE()),"")</f>
        <v>Casa</v>
      </c>
      <c r="J369" s="49"/>
      <c r="K369" s="50" t="s">
        <v>542</v>
      </c>
    </row>
    <row r="370" customFormat="false" ht="15" hidden="false" customHeight="false" outlineLevel="0" collapsed="false">
      <c r="A370" s="46" t="n">
        <v>45968</v>
      </c>
      <c r="B370" s="47" t="n">
        <f aca="false">DATE(YEAR(A370),MONTH(A370),1)</f>
        <v>45962</v>
      </c>
      <c r="C370" s="5" t="s">
        <v>120</v>
      </c>
      <c r="D370" s="5" t="s">
        <v>124</v>
      </c>
      <c r="E370" s="48" t="n">
        <v>-4.19</v>
      </c>
      <c r="F370" s="5"/>
      <c r="G370" s="49" t="s">
        <v>125</v>
      </c>
      <c r="H370" s="27" t="str">
        <f aca="false">IFERROR(VLOOKUP(G370,CATEGORÍAS!$A$4:$C$100,2,FALSE()),"Por revisar")</f>
        <v>Gasto</v>
      </c>
      <c r="I370" s="27" t="str">
        <f aca="false">IFERROR(VLOOKUP(G370,CATEGORÍAS!$A$4:$C$100,3,FALSE()),"")</f>
        <v>Comida</v>
      </c>
      <c r="J370" s="49"/>
      <c r="K370" s="50" t="s">
        <v>543</v>
      </c>
    </row>
    <row r="371" customFormat="false" ht="15" hidden="false" customHeight="false" outlineLevel="0" collapsed="false">
      <c r="A371" s="46" t="n">
        <v>45968</v>
      </c>
      <c r="B371" s="47" t="n">
        <f aca="false">DATE(YEAR(A371),MONTH(A371),1)</f>
        <v>45962</v>
      </c>
      <c r="C371" s="5" t="s">
        <v>120</v>
      </c>
      <c r="D371" s="5" t="s">
        <v>173</v>
      </c>
      <c r="E371" s="48" t="n">
        <v>-15.73</v>
      </c>
      <c r="F371" s="5"/>
      <c r="G371" s="49" t="s">
        <v>174</v>
      </c>
      <c r="H371" s="27" t="str">
        <f aca="false">IFERROR(VLOOKUP(G371,CATEGORÍAS!$A$4:$C$100,2,FALSE()),"Por revisar")</f>
        <v>Gasto</v>
      </c>
      <c r="I371" s="27" t="str">
        <f aca="false">IFERROR(VLOOKUP(G371,CATEGORÍAS!$A$4:$C$100,3,FALSE()),"")</f>
        <v>Ocio</v>
      </c>
      <c r="J371" s="49"/>
      <c r="K371" s="50" t="s">
        <v>544</v>
      </c>
    </row>
    <row r="372" customFormat="false" ht="15" hidden="false" customHeight="false" outlineLevel="0" collapsed="false">
      <c r="A372" s="46" t="n">
        <v>45967</v>
      </c>
      <c r="B372" s="47" t="n">
        <f aca="false">DATE(YEAR(A372),MONTH(A372),1)</f>
        <v>45962</v>
      </c>
      <c r="C372" s="5" t="s">
        <v>91</v>
      </c>
      <c r="D372" s="5" t="s">
        <v>164</v>
      </c>
      <c r="E372" s="48" t="n">
        <v>-14.95</v>
      </c>
      <c r="F372" s="48" t="n">
        <v>1611.41</v>
      </c>
      <c r="G372" s="49" t="s">
        <v>165</v>
      </c>
      <c r="H372" s="27" t="str">
        <f aca="false">IFERROR(VLOOKUP(G372,CATEGORÍAS!$A$4:$C$100,2,FALSE()),"Por revisar")</f>
        <v>Gasto</v>
      </c>
      <c r="I372" s="27" t="str">
        <f aca="false">IFERROR(VLOOKUP(G372,CATEGORÍAS!$A$4:$C$100,3,FALSE()),"")</f>
        <v>Personal</v>
      </c>
      <c r="J372" s="49"/>
      <c r="K372" s="50" t="s">
        <v>545</v>
      </c>
    </row>
    <row r="373" customFormat="false" ht="15" hidden="false" customHeight="false" outlineLevel="0" collapsed="false">
      <c r="A373" s="46" t="n">
        <v>45966</v>
      </c>
      <c r="B373" s="47" t="n">
        <f aca="false">DATE(YEAR(A373),MONTH(A373),1)</f>
        <v>45962</v>
      </c>
      <c r="C373" s="5" t="s">
        <v>120</v>
      </c>
      <c r="D373" s="5" t="s">
        <v>124</v>
      </c>
      <c r="E373" s="48" t="n">
        <v>-6.76</v>
      </c>
      <c r="F373" s="5"/>
      <c r="G373" s="49" t="s">
        <v>125</v>
      </c>
      <c r="H373" s="27" t="str">
        <f aca="false">IFERROR(VLOOKUP(G373,CATEGORÍAS!$A$4:$C$100,2,FALSE()),"Por revisar")</f>
        <v>Gasto</v>
      </c>
      <c r="I373" s="27" t="str">
        <f aca="false">IFERROR(VLOOKUP(G373,CATEGORÍAS!$A$4:$C$100,3,FALSE()),"")</f>
        <v>Comida</v>
      </c>
      <c r="J373" s="49"/>
      <c r="K373" s="50" t="s">
        <v>546</v>
      </c>
    </row>
    <row r="374" customFormat="false" ht="15" hidden="false" customHeight="false" outlineLevel="0" collapsed="false">
      <c r="A374" s="46" t="n">
        <v>45966</v>
      </c>
      <c r="B374" s="47" t="n">
        <f aca="false">DATE(YEAR(A374),MONTH(A374),1)</f>
        <v>45962</v>
      </c>
      <c r="C374" s="5" t="s">
        <v>120</v>
      </c>
      <c r="D374" s="5" t="s">
        <v>144</v>
      </c>
      <c r="E374" s="48" t="n">
        <v>-43.07</v>
      </c>
      <c r="F374" s="5"/>
      <c r="G374" s="49" t="s">
        <v>122</v>
      </c>
      <c r="H374" s="27" t="str">
        <f aca="false">IFERROR(VLOOKUP(G374,CATEGORÍAS!$A$4:$C$100,2,FALSE()),"Por revisar")</f>
        <v>Gasto</v>
      </c>
      <c r="I374" s="27" t="str">
        <f aca="false">IFERROR(VLOOKUP(G374,CATEGORÍAS!$A$4:$C$100,3,FALSE()),"")</f>
        <v>Comida</v>
      </c>
      <c r="J374" s="49"/>
      <c r="K374" s="50" t="s">
        <v>547</v>
      </c>
    </row>
    <row r="375" customFormat="false" ht="15" hidden="false" customHeight="false" outlineLevel="0" collapsed="false">
      <c r="A375" s="46" t="n">
        <v>45966</v>
      </c>
      <c r="B375" s="47" t="n">
        <f aca="false">DATE(YEAR(A375),MONTH(A375),1)</f>
        <v>45962</v>
      </c>
      <c r="C375" s="5" t="s">
        <v>91</v>
      </c>
      <c r="D375" s="5" t="s">
        <v>167</v>
      </c>
      <c r="E375" s="48" t="n">
        <v>-39.9</v>
      </c>
      <c r="F375" s="48" t="n">
        <v>1626.36</v>
      </c>
      <c r="G375" s="49" t="s">
        <v>168</v>
      </c>
      <c r="H375" s="27" t="str">
        <f aca="false">IFERROR(VLOOKUP(G375,CATEGORÍAS!$A$4:$C$100,2,FALSE()),"Por revisar")</f>
        <v>Gasto</v>
      </c>
      <c r="I375" s="27" t="str">
        <f aca="false">IFERROR(VLOOKUP(G375,CATEGORÍAS!$A$4:$C$100,3,FALSE()),"")</f>
        <v>Casa</v>
      </c>
      <c r="J375" s="49"/>
      <c r="K375" s="50" t="s">
        <v>548</v>
      </c>
    </row>
    <row r="376" customFormat="false" ht="15" hidden="false" customHeight="false" outlineLevel="0" collapsed="false">
      <c r="A376" s="46" t="n">
        <v>45966</v>
      </c>
      <c r="B376" s="47" t="n">
        <f aca="false">DATE(YEAR(A376),MONTH(A376),1)</f>
        <v>45962</v>
      </c>
      <c r="C376" s="5" t="s">
        <v>92</v>
      </c>
      <c r="D376" s="5" t="s">
        <v>170</v>
      </c>
      <c r="E376" s="48" t="n">
        <v>-445.74</v>
      </c>
      <c r="F376" s="48" t="n">
        <v>1114.26</v>
      </c>
      <c r="G376" s="49" t="s">
        <v>171</v>
      </c>
      <c r="H376" s="27" t="str">
        <f aca="false">IFERROR(VLOOKUP(G376,CATEGORÍAS!$A$4:$C$100,2,FALSE()),"Por revisar")</f>
        <v>Traspaso</v>
      </c>
      <c r="I376" s="27" t="str">
        <f aca="false">IFERROR(VLOOKUP(G376,CATEGORÍAS!$A$4:$C$100,3,FALSE()),"")</f>
        <v>Traspasos</v>
      </c>
      <c r="J376" s="49"/>
      <c r="K376" s="50" t="s">
        <v>549</v>
      </c>
    </row>
    <row r="377" customFormat="false" ht="15" hidden="false" customHeight="false" outlineLevel="0" collapsed="false">
      <c r="A377" s="46" t="n">
        <v>45965</v>
      </c>
      <c r="B377" s="47" t="n">
        <f aca="false">DATE(YEAR(A377),MONTH(A377),1)</f>
        <v>45962</v>
      </c>
      <c r="C377" s="5" t="s">
        <v>120</v>
      </c>
      <c r="D377" s="5" t="s">
        <v>144</v>
      </c>
      <c r="E377" s="48" t="n">
        <v>-50.59</v>
      </c>
      <c r="F377" s="5"/>
      <c r="G377" s="49" t="s">
        <v>122</v>
      </c>
      <c r="H377" s="27" t="str">
        <f aca="false">IFERROR(VLOOKUP(G377,CATEGORÍAS!$A$4:$C$100,2,FALSE()),"Por revisar")</f>
        <v>Gasto</v>
      </c>
      <c r="I377" s="27" t="str">
        <f aca="false">IFERROR(VLOOKUP(G377,CATEGORÍAS!$A$4:$C$100,3,FALSE()),"")</f>
        <v>Comida</v>
      </c>
      <c r="J377" s="49"/>
      <c r="K377" s="50" t="s">
        <v>550</v>
      </c>
    </row>
    <row r="378" customFormat="false" ht="15" hidden="false" customHeight="false" outlineLevel="0" collapsed="false">
      <c r="A378" s="46" t="n">
        <v>45964</v>
      </c>
      <c r="B378" s="47" t="n">
        <f aca="false">DATE(YEAR(A378),MONTH(A378),1)</f>
        <v>45962</v>
      </c>
      <c r="C378" s="5" t="s">
        <v>91</v>
      </c>
      <c r="D378" s="5" t="s">
        <v>177</v>
      </c>
      <c r="E378" s="48" t="n">
        <v>-150</v>
      </c>
      <c r="F378" s="48" t="n">
        <v>1666.26</v>
      </c>
      <c r="G378" s="49" t="s">
        <v>178</v>
      </c>
      <c r="H378" s="27" t="str">
        <f aca="false">IFERROR(VLOOKUP(G378,CATEGORÍAS!$A$4:$C$100,2,FALSE()),"Por revisar")</f>
        <v>Gasto</v>
      </c>
      <c r="I378" s="27" t="str">
        <f aca="false">IFERROR(VLOOKUP(G378,CATEGORÍAS!$A$4:$C$100,3,FALSE()),"")</f>
        <v>Viajes</v>
      </c>
      <c r="J378" s="49"/>
      <c r="K378" s="50" t="s">
        <v>551</v>
      </c>
    </row>
    <row r="379" customFormat="false" ht="15" hidden="false" customHeight="false" outlineLevel="0" collapsed="false">
      <c r="A379" s="46" t="n">
        <v>45963</v>
      </c>
      <c r="B379" s="47" t="n">
        <f aca="false">DATE(YEAR(A379),MONTH(A379),1)</f>
        <v>45962</v>
      </c>
      <c r="C379" s="5" t="s">
        <v>91</v>
      </c>
      <c r="D379" s="5" t="s">
        <v>180</v>
      </c>
      <c r="E379" s="48" t="n">
        <v>-300</v>
      </c>
      <c r="F379" s="48" t="n">
        <v>2296.26</v>
      </c>
      <c r="G379" s="49" t="s">
        <v>181</v>
      </c>
      <c r="H379" s="27" t="str">
        <f aca="false">IFERROR(VLOOKUP(G379,CATEGORÍAS!$A$4:$C$100,2,FALSE()),"Por revisar")</f>
        <v>Traspaso</v>
      </c>
      <c r="I379" s="27" t="str">
        <f aca="false">IFERROR(VLOOKUP(G379,CATEGORÍAS!$A$4:$C$100,3,FALSE()),"")</f>
        <v>Traspasos</v>
      </c>
      <c r="J379" s="49"/>
      <c r="K379" s="50" t="s">
        <v>552</v>
      </c>
    </row>
    <row r="380" customFormat="false" ht="15" hidden="false" customHeight="false" outlineLevel="0" collapsed="false">
      <c r="A380" s="46" t="n">
        <v>45963</v>
      </c>
      <c r="B380" s="47" t="n">
        <f aca="false">DATE(YEAR(A380),MONTH(A380),1)</f>
        <v>45962</v>
      </c>
      <c r="C380" s="5" t="s">
        <v>91</v>
      </c>
      <c r="D380" s="5" t="s">
        <v>183</v>
      </c>
      <c r="E380" s="48" t="n">
        <v>-480</v>
      </c>
      <c r="F380" s="48" t="n">
        <v>1816.26</v>
      </c>
      <c r="G380" s="49" t="s">
        <v>181</v>
      </c>
      <c r="H380" s="27" t="str">
        <f aca="false">IFERROR(VLOOKUP(G380,CATEGORÍAS!$A$4:$C$100,2,FALSE()),"Por revisar")</f>
        <v>Traspaso</v>
      </c>
      <c r="I380" s="27" t="str">
        <f aca="false">IFERROR(VLOOKUP(G380,CATEGORÍAS!$A$4:$C$100,3,FALSE()),"")</f>
        <v>Traspasos</v>
      </c>
      <c r="J380" s="49"/>
      <c r="K380" s="50" t="s">
        <v>553</v>
      </c>
    </row>
    <row r="381" customFormat="false" ht="15" hidden="false" customHeight="false" outlineLevel="0" collapsed="false">
      <c r="A381" s="46" t="n">
        <v>45963</v>
      </c>
      <c r="B381" s="47" t="n">
        <f aca="false">DATE(YEAR(A381),MONTH(A381),1)</f>
        <v>45962</v>
      </c>
      <c r="C381" s="5" t="s">
        <v>93</v>
      </c>
      <c r="D381" s="5" t="s">
        <v>185</v>
      </c>
      <c r="E381" s="48" t="n">
        <v>300</v>
      </c>
      <c r="F381" s="48" t="n">
        <v>52632.69</v>
      </c>
      <c r="G381" s="49" t="s">
        <v>181</v>
      </c>
      <c r="H381" s="27" t="str">
        <f aca="false">IFERROR(VLOOKUP(G381,CATEGORÍAS!$A$4:$C$100,2,FALSE()),"Por revisar")</f>
        <v>Traspaso</v>
      </c>
      <c r="I381" s="27" t="str">
        <f aca="false">IFERROR(VLOOKUP(G381,CATEGORÍAS!$A$4:$C$100,3,FALSE()),"")</f>
        <v>Traspasos</v>
      </c>
      <c r="J381" s="49"/>
      <c r="K381" s="50" t="s">
        <v>554</v>
      </c>
    </row>
    <row r="382" customFormat="false" ht="15" hidden="false" customHeight="false" outlineLevel="0" collapsed="false">
      <c r="A382" s="46" t="n">
        <v>45963</v>
      </c>
      <c r="B382" s="47" t="n">
        <f aca="false">DATE(YEAR(A382),MONTH(A382),1)</f>
        <v>45962</v>
      </c>
      <c r="C382" s="5" t="s">
        <v>92</v>
      </c>
      <c r="D382" s="5" t="s">
        <v>185</v>
      </c>
      <c r="E382" s="48" t="n">
        <v>480</v>
      </c>
      <c r="F382" s="48" t="n">
        <v>1560</v>
      </c>
      <c r="G382" s="49" t="s">
        <v>181</v>
      </c>
      <c r="H382" s="27" t="str">
        <f aca="false">IFERROR(VLOOKUP(G382,CATEGORÍAS!$A$4:$C$100,2,FALSE()),"Por revisar")</f>
        <v>Traspaso</v>
      </c>
      <c r="I382" s="27" t="str">
        <f aca="false">IFERROR(VLOOKUP(G382,CATEGORÍAS!$A$4:$C$100,3,FALSE()),"")</f>
        <v>Traspasos</v>
      </c>
      <c r="J382" s="49"/>
      <c r="K382" s="50" t="s">
        <v>555</v>
      </c>
    </row>
    <row r="383" customFormat="false" ht="15" hidden="false" customHeight="false" outlineLevel="0" collapsed="false">
      <c r="A383" s="46" t="n">
        <v>45962</v>
      </c>
      <c r="B383" s="47" t="n">
        <f aca="false">DATE(YEAR(A383),MONTH(A383),1)</f>
        <v>45962</v>
      </c>
      <c r="C383" s="5" t="s">
        <v>91</v>
      </c>
      <c r="D383" s="5" t="s">
        <v>556</v>
      </c>
      <c r="E383" s="48" t="n">
        <v>-850</v>
      </c>
      <c r="F383" s="48" t="n">
        <v>2596.26</v>
      </c>
      <c r="G383" s="49" t="s">
        <v>189</v>
      </c>
      <c r="H383" s="27" t="str">
        <f aca="false">IFERROR(VLOOKUP(G383,CATEGORÍAS!$A$4:$C$100,2,FALSE()),"Por revisar")</f>
        <v>Gasto</v>
      </c>
      <c r="I383" s="27" t="str">
        <f aca="false">IFERROR(VLOOKUP(G383,CATEGORÍAS!$A$4:$C$100,3,FALSE()),"")</f>
        <v>Casa</v>
      </c>
      <c r="J383" s="49"/>
      <c r="K383" s="50" t="s">
        <v>557</v>
      </c>
    </row>
    <row r="384" customFormat="false" ht="15" hidden="false" customHeight="false" outlineLevel="0" collapsed="false">
      <c r="A384" s="46" t="n">
        <v>45961</v>
      </c>
      <c r="B384" s="47" t="n">
        <f aca="false">DATE(YEAR(A384),MONTH(A384),1)</f>
        <v>45931</v>
      </c>
      <c r="C384" s="5" t="s">
        <v>93</v>
      </c>
      <c r="D384" s="5" t="s">
        <v>114</v>
      </c>
      <c r="E384" s="48" t="n">
        <v>32.69</v>
      </c>
      <c r="F384" s="48" t="n">
        <v>52332.69</v>
      </c>
      <c r="G384" s="49" t="s">
        <v>115</v>
      </c>
      <c r="H384" s="27" t="str">
        <f aca="false">IFERROR(VLOOKUP(G384,CATEGORÍAS!$A$4:$C$100,2,FALSE()),"Por revisar")</f>
        <v>Ingreso</v>
      </c>
      <c r="I384" s="27" t="str">
        <f aca="false">IFERROR(VLOOKUP(G384,CATEGORÍAS!$A$4:$C$100,3,FALSE()),"")</f>
        <v>Ahorro</v>
      </c>
      <c r="J384" s="49"/>
      <c r="K384" s="50" t="s">
        <v>558</v>
      </c>
    </row>
    <row r="385" customFormat="false" ht="15" hidden="false" customHeight="false" outlineLevel="0" collapsed="false">
      <c r="A385" s="46" t="n">
        <v>45958</v>
      </c>
      <c r="B385" s="47" t="n">
        <f aca="false">DATE(YEAR(A385),MONTH(A385),1)</f>
        <v>45931</v>
      </c>
      <c r="C385" s="5" t="s">
        <v>120</v>
      </c>
      <c r="D385" s="5" t="s">
        <v>135</v>
      </c>
      <c r="E385" s="48" t="n">
        <v>-32.16</v>
      </c>
      <c r="F385" s="5"/>
      <c r="G385" s="49" t="s">
        <v>136</v>
      </c>
      <c r="H385" s="27" t="str">
        <f aca="false">IFERROR(VLOOKUP(G385,CATEGORÍAS!$A$4:$C$100,2,FALSE()),"Por revisar")</f>
        <v>Gasto</v>
      </c>
      <c r="I385" s="27" t="str">
        <f aca="false">IFERROR(VLOOKUP(G385,CATEGORÍAS!$A$4:$C$100,3,FALSE()),"")</f>
        <v>Personal</v>
      </c>
      <c r="J385" s="49"/>
      <c r="K385" s="50" t="s">
        <v>559</v>
      </c>
    </row>
    <row r="386" customFormat="false" ht="15" hidden="false" customHeight="false" outlineLevel="0" collapsed="false">
      <c r="A386" s="46" t="n">
        <v>45958</v>
      </c>
      <c r="B386" s="47" t="n">
        <f aca="false">DATE(YEAR(A386),MONTH(A386),1)</f>
        <v>45931</v>
      </c>
      <c r="C386" s="5" t="s">
        <v>91</v>
      </c>
      <c r="D386" s="5" t="s">
        <v>117</v>
      </c>
      <c r="E386" s="48" t="n">
        <v>2150</v>
      </c>
      <c r="F386" s="48" t="n">
        <v>3446.26</v>
      </c>
      <c r="G386" s="49" t="s">
        <v>118</v>
      </c>
      <c r="H386" s="27" t="str">
        <f aca="false">IFERROR(VLOOKUP(G386,CATEGORÍAS!$A$4:$C$100,2,FALSE()),"Por revisar")</f>
        <v>Ingreso</v>
      </c>
      <c r="I386" s="27" t="str">
        <f aca="false">IFERROR(VLOOKUP(G386,CATEGORÍAS!$A$4:$C$100,3,FALSE()),"")</f>
        <v>Trabajo</v>
      </c>
      <c r="J386" s="49"/>
      <c r="K386" s="50" t="s">
        <v>560</v>
      </c>
    </row>
    <row r="387" customFormat="false" ht="15" hidden="false" customHeight="false" outlineLevel="0" collapsed="false">
      <c r="A387" s="46" t="n">
        <v>45955</v>
      </c>
      <c r="B387" s="47" t="n">
        <f aca="false">DATE(YEAR(A387),MONTH(A387),1)</f>
        <v>45931</v>
      </c>
      <c r="C387" s="5" t="s">
        <v>120</v>
      </c>
      <c r="D387" s="5" t="s">
        <v>144</v>
      </c>
      <c r="E387" s="48" t="n">
        <v>-43.53</v>
      </c>
      <c r="F387" s="5"/>
      <c r="G387" s="49" t="s">
        <v>122</v>
      </c>
      <c r="H387" s="27" t="str">
        <f aca="false">IFERROR(VLOOKUP(G387,CATEGORÍAS!$A$4:$C$100,2,FALSE()),"Por revisar")</f>
        <v>Gasto</v>
      </c>
      <c r="I387" s="27" t="str">
        <f aca="false">IFERROR(VLOOKUP(G387,CATEGORÍAS!$A$4:$C$100,3,FALSE()),"")</f>
        <v>Comida</v>
      </c>
      <c r="J387" s="49"/>
      <c r="K387" s="50" t="s">
        <v>561</v>
      </c>
    </row>
    <row r="388" customFormat="false" ht="15" hidden="false" customHeight="false" outlineLevel="0" collapsed="false">
      <c r="A388" s="46" t="n">
        <v>45954</v>
      </c>
      <c r="B388" s="47" t="n">
        <f aca="false">DATE(YEAR(A388),MONTH(A388),1)</f>
        <v>45931</v>
      </c>
      <c r="C388" s="5" t="s">
        <v>91</v>
      </c>
      <c r="D388" s="5" t="s">
        <v>151</v>
      </c>
      <c r="E388" s="48" t="n">
        <v>37</v>
      </c>
      <c r="F388" s="48" t="n">
        <v>1296.26</v>
      </c>
      <c r="G388" s="49" t="s">
        <v>201</v>
      </c>
      <c r="H388" s="27" t="str">
        <f aca="false">IFERROR(VLOOKUP(G388,CATEGORÍAS!$A$4:$C$100,2,FALSE()),"Por revisar")</f>
        <v>Gasto</v>
      </c>
      <c r="I388" s="27" t="str">
        <f aca="false">IFERROR(VLOOKUP(G388,CATEGORÍAS!$A$4:$C$100,3,FALSE()),"")</f>
        <v>Comida</v>
      </c>
      <c r="J388" s="49"/>
      <c r="K388" s="50" t="s">
        <v>562</v>
      </c>
    </row>
    <row r="389" customFormat="false" ht="15" hidden="false" customHeight="false" outlineLevel="0" collapsed="false">
      <c r="A389" s="46" t="n">
        <v>45952</v>
      </c>
      <c r="B389" s="47" t="n">
        <f aca="false">DATE(YEAR(A389),MONTH(A389),1)</f>
        <v>45931</v>
      </c>
      <c r="C389" s="5" t="s">
        <v>120</v>
      </c>
      <c r="D389" s="5" t="s">
        <v>121</v>
      </c>
      <c r="E389" s="48" t="n">
        <v>-12.4</v>
      </c>
      <c r="F389" s="5"/>
      <c r="G389" s="49" t="s">
        <v>122</v>
      </c>
      <c r="H389" s="27" t="str">
        <f aca="false">IFERROR(VLOOKUP(G389,CATEGORÍAS!$A$4:$C$100,2,FALSE()),"Por revisar")</f>
        <v>Gasto</v>
      </c>
      <c r="I389" s="27" t="str">
        <f aca="false">IFERROR(VLOOKUP(G389,CATEGORÍAS!$A$4:$C$100,3,FALSE()),"")</f>
        <v>Comida</v>
      </c>
      <c r="J389" s="49"/>
      <c r="K389" s="50" t="s">
        <v>563</v>
      </c>
    </row>
    <row r="390" customFormat="false" ht="15" hidden="false" customHeight="false" outlineLevel="0" collapsed="false">
      <c r="A390" s="46" t="n">
        <v>45951</v>
      </c>
      <c r="B390" s="47" t="n">
        <f aca="false">DATE(YEAR(A390),MONTH(A390),1)</f>
        <v>45931</v>
      </c>
      <c r="C390" s="5" t="s">
        <v>120</v>
      </c>
      <c r="D390" s="5" t="s">
        <v>124</v>
      </c>
      <c r="E390" s="48" t="n">
        <v>-7.08</v>
      </c>
      <c r="F390" s="5"/>
      <c r="G390" s="49" t="s">
        <v>125</v>
      </c>
      <c r="H390" s="27" t="str">
        <f aca="false">IFERROR(VLOOKUP(G390,CATEGORÍAS!$A$4:$C$100,2,FALSE()),"Por revisar")</f>
        <v>Gasto</v>
      </c>
      <c r="I390" s="27" t="str">
        <f aca="false">IFERROR(VLOOKUP(G390,CATEGORÍAS!$A$4:$C$100,3,FALSE()),"")</f>
        <v>Comida</v>
      </c>
      <c r="J390" s="49"/>
      <c r="K390" s="50" t="s">
        <v>564</v>
      </c>
    </row>
    <row r="391" customFormat="false" ht="15" hidden="false" customHeight="false" outlineLevel="0" collapsed="false">
      <c r="A391" s="46" t="n">
        <v>45949</v>
      </c>
      <c r="B391" s="47" t="n">
        <f aca="false">DATE(YEAR(A391),MONTH(A391),1)</f>
        <v>45931</v>
      </c>
      <c r="C391" s="5" t="s">
        <v>120</v>
      </c>
      <c r="D391" s="5" t="s">
        <v>144</v>
      </c>
      <c r="E391" s="48" t="n">
        <v>-46.49</v>
      </c>
      <c r="F391" s="5"/>
      <c r="G391" s="49" t="s">
        <v>122</v>
      </c>
      <c r="H391" s="27" t="str">
        <f aca="false">IFERROR(VLOOKUP(G391,CATEGORÍAS!$A$4:$C$100,2,FALSE()),"Por revisar")</f>
        <v>Gasto</v>
      </c>
      <c r="I391" s="27" t="str">
        <f aca="false">IFERROR(VLOOKUP(G391,CATEGORÍAS!$A$4:$C$100,3,FALSE()),"")</f>
        <v>Comida</v>
      </c>
      <c r="J391" s="49"/>
      <c r="K391" s="50" t="s">
        <v>565</v>
      </c>
    </row>
    <row r="392" customFormat="false" ht="15" hidden="false" customHeight="false" outlineLevel="0" collapsed="false">
      <c r="A392" s="46" t="n">
        <v>45948</v>
      </c>
      <c r="B392" s="47" t="n">
        <f aca="false">DATE(YEAR(A392),MONTH(A392),1)</f>
        <v>45931</v>
      </c>
      <c r="C392" s="5" t="s">
        <v>120</v>
      </c>
      <c r="D392" s="5" t="s">
        <v>124</v>
      </c>
      <c r="E392" s="48" t="n">
        <v>-4.4</v>
      </c>
      <c r="F392" s="5"/>
      <c r="G392" s="49" t="s">
        <v>125</v>
      </c>
      <c r="H392" s="27" t="str">
        <f aca="false">IFERROR(VLOOKUP(G392,CATEGORÍAS!$A$4:$C$100,2,FALSE()),"Por revisar")</f>
        <v>Gasto</v>
      </c>
      <c r="I392" s="27" t="str">
        <f aca="false">IFERROR(VLOOKUP(G392,CATEGORÍAS!$A$4:$C$100,3,FALSE()),"")</f>
        <v>Comida</v>
      </c>
      <c r="J392" s="49"/>
      <c r="K392" s="50" t="s">
        <v>566</v>
      </c>
    </row>
    <row r="393" customFormat="false" ht="15" hidden="false" customHeight="false" outlineLevel="0" collapsed="false">
      <c r="A393" s="46" t="n">
        <v>45948</v>
      </c>
      <c r="B393" s="47" t="n">
        <f aca="false">DATE(YEAR(A393),MONTH(A393),1)</f>
        <v>45931</v>
      </c>
      <c r="C393" s="5" t="s">
        <v>120</v>
      </c>
      <c r="D393" s="5" t="s">
        <v>129</v>
      </c>
      <c r="E393" s="48" t="n">
        <v>-20</v>
      </c>
      <c r="F393" s="5"/>
      <c r="G393" s="49" t="s">
        <v>130</v>
      </c>
      <c r="H393" s="27" t="str">
        <f aca="false">IFERROR(VLOOKUP(G393,CATEGORÍAS!$A$4:$C$100,2,FALSE()),"Por revisar")</f>
        <v>Gasto</v>
      </c>
      <c r="I393" s="27" t="str">
        <f aca="false">IFERROR(VLOOKUP(G393,CATEGORÍAS!$A$4:$C$100,3,FALSE()),"")</f>
        <v>Transporte</v>
      </c>
      <c r="J393" s="49"/>
      <c r="K393" s="50" t="s">
        <v>567</v>
      </c>
    </row>
    <row r="394" customFormat="false" ht="15" hidden="false" customHeight="false" outlineLevel="0" collapsed="false">
      <c r="A394" s="46" t="n">
        <v>45947</v>
      </c>
      <c r="B394" s="47" t="n">
        <f aca="false">DATE(YEAR(A394),MONTH(A394),1)</f>
        <v>45931</v>
      </c>
      <c r="C394" s="5" t="s">
        <v>120</v>
      </c>
      <c r="D394" s="5" t="s">
        <v>146</v>
      </c>
      <c r="E394" s="48" t="n">
        <v>-51.05</v>
      </c>
      <c r="F394" s="5"/>
      <c r="G394" s="49" t="s">
        <v>130</v>
      </c>
      <c r="H394" s="27" t="str">
        <f aca="false">IFERROR(VLOOKUP(G394,CATEGORÍAS!$A$4:$C$100,2,FALSE()),"Por revisar")</f>
        <v>Gasto</v>
      </c>
      <c r="I394" s="27" t="str">
        <f aca="false">IFERROR(VLOOKUP(G394,CATEGORÍAS!$A$4:$C$100,3,FALSE()),"")</f>
        <v>Transporte</v>
      </c>
      <c r="J394" s="49"/>
      <c r="K394" s="50" t="s">
        <v>568</v>
      </c>
    </row>
    <row r="395" customFormat="false" ht="15" hidden="false" customHeight="false" outlineLevel="0" collapsed="false">
      <c r="A395" s="46" t="n">
        <v>45947</v>
      </c>
      <c r="B395" s="47" t="n">
        <f aca="false">DATE(YEAR(A395),MONTH(A395),1)</f>
        <v>45931</v>
      </c>
      <c r="C395" s="5" t="s">
        <v>120</v>
      </c>
      <c r="D395" s="5" t="s">
        <v>173</v>
      </c>
      <c r="E395" s="48" t="n">
        <v>-16.25</v>
      </c>
      <c r="F395" s="5"/>
      <c r="G395" s="49" t="s">
        <v>174</v>
      </c>
      <c r="H395" s="27" t="str">
        <f aca="false">IFERROR(VLOOKUP(G395,CATEGORÍAS!$A$4:$C$100,2,FALSE()),"Por revisar")</f>
        <v>Gasto</v>
      </c>
      <c r="I395" s="27" t="str">
        <f aca="false">IFERROR(VLOOKUP(G395,CATEGORÍAS!$A$4:$C$100,3,FALSE()),"")</f>
        <v>Ocio</v>
      </c>
      <c r="J395" s="49"/>
      <c r="K395" s="50" t="s">
        <v>569</v>
      </c>
    </row>
    <row r="396" customFormat="false" ht="15" hidden="false" customHeight="false" outlineLevel="0" collapsed="false">
      <c r="A396" s="46" t="n">
        <v>45946</v>
      </c>
      <c r="B396" s="47" t="n">
        <f aca="false">DATE(YEAR(A396),MONTH(A396),1)</f>
        <v>45931</v>
      </c>
      <c r="C396" s="5" t="s">
        <v>120</v>
      </c>
      <c r="D396" s="5" t="s">
        <v>159</v>
      </c>
      <c r="E396" s="48" t="n">
        <v>-14.76</v>
      </c>
      <c r="F396" s="5"/>
      <c r="G396" s="49" t="s">
        <v>160</v>
      </c>
      <c r="H396" s="27" t="str">
        <f aca="false">IFERROR(VLOOKUP(G396,CATEGORÍAS!$A$4:$C$100,2,FALSE()),"Por revisar")</f>
        <v>Gasto</v>
      </c>
      <c r="I396" s="27" t="str">
        <f aca="false">IFERROR(VLOOKUP(G396,CATEGORÍAS!$A$4:$C$100,3,FALSE()),"")</f>
        <v>Salud</v>
      </c>
      <c r="J396" s="49"/>
      <c r="K396" s="50" t="s">
        <v>570</v>
      </c>
    </row>
    <row r="397" customFormat="false" ht="15" hidden="false" customHeight="false" outlineLevel="0" collapsed="false">
      <c r="A397" s="46" t="n">
        <v>45945</v>
      </c>
      <c r="B397" s="47" t="n">
        <f aca="false">DATE(YEAR(A397),MONTH(A397),1)</f>
        <v>45931</v>
      </c>
      <c r="C397" s="5" t="s">
        <v>120</v>
      </c>
      <c r="D397" s="5" t="s">
        <v>144</v>
      </c>
      <c r="E397" s="48" t="n">
        <v>-30.48</v>
      </c>
      <c r="F397" s="5"/>
      <c r="G397" s="49" t="s">
        <v>122</v>
      </c>
      <c r="H397" s="27" t="str">
        <f aca="false">IFERROR(VLOOKUP(G397,CATEGORÍAS!$A$4:$C$100,2,FALSE()),"Por revisar")</f>
        <v>Gasto</v>
      </c>
      <c r="I397" s="27" t="str">
        <f aca="false">IFERROR(VLOOKUP(G397,CATEGORÍAS!$A$4:$C$100,3,FALSE()),"")</f>
        <v>Comida</v>
      </c>
      <c r="J397" s="49"/>
      <c r="K397" s="50" t="s">
        <v>571</v>
      </c>
    </row>
    <row r="398" customFormat="false" ht="15" hidden="false" customHeight="false" outlineLevel="0" collapsed="false">
      <c r="A398" s="46" t="n">
        <v>45945</v>
      </c>
      <c r="B398" s="47" t="n">
        <f aca="false">DATE(YEAR(A398),MONTH(A398),1)</f>
        <v>45931</v>
      </c>
      <c r="C398" s="5" t="s">
        <v>120</v>
      </c>
      <c r="D398" s="5" t="s">
        <v>127</v>
      </c>
      <c r="E398" s="48" t="n">
        <v>-37.2</v>
      </c>
      <c r="F398" s="5"/>
      <c r="G398" s="49" t="s">
        <v>125</v>
      </c>
      <c r="H398" s="27" t="str">
        <f aca="false">IFERROR(VLOOKUP(G398,CATEGORÍAS!$A$4:$C$100,2,FALSE()),"Por revisar")</f>
        <v>Gasto</v>
      </c>
      <c r="I398" s="27" t="str">
        <f aca="false">IFERROR(VLOOKUP(G398,CATEGORÍAS!$A$4:$C$100,3,FALSE()),"")</f>
        <v>Comida</v>
      </c>
      <c r="J398" s="49"/>
      <c r="K398" s="50" t="s">
        <v>572</v>
      </c>
    </row>
    <row r="399" customFormat="false" ht="15" hidden="false" customHeight="false" outlineLevel="0" collapsed="false">
      <c r="A399" s="46" t="n">
        <v>45943</v>
      </c>
      <c r="B399" s="47" t="n">
        <f aca="false">DATE(YEAR(A399),MONTH(A399),1)</f>
        <v>45931</v>
      </c>
      <c r="C399" s="5" t="s">
        <v>120</v>
      </c>
      <c r="D399" s="5" t="s">
        <v>124</v>
      </c>
      <c r="E399" s="48" t="n">
        <v>-9</v>
      </c>
      <c r="F399" s="5"/>
      <c r="G399" s="49" t="s">
        <v>125</v>
      </c>
      <c r="H399" s="27" t="str">
        <f aca="false">IFERROR(VLOOKUP(G399,CATEGORÍAS!$A$4:$C$100,2,FALSE()),"Por revisar")</f>
        <v>Gasto</v>
      </c>
      <c r="I399" s="27" t="str">
        <f aca="false">IFERROR(VLOOKUP(G399,CATEGORÍAS!$A$4:$C$100,3,FALSE()),"")</f>
        <v>Comida</v>
      </c>
      <c r="J399" s="49"/>
      <c r="K399" s="50" t="s">
        <v>573</v>
      </c>
    </row>
    <row r="400" customFormat="false" ht="15" hidden="false" customHeight="false" outlineLevel="0" collapsed="false">
      <c r="A400" s="46" t="n">
        <v>45942</v>
      </c>
      <c r="B400" s="47" t="n">
        <f aca="false">DATE(YEAR(A400),MONTH(A400),1)</f>
        <v>45931</v>
      </c>
      <c r="C400" s="5" t="s">
        <v>120</v>
      </c>
      <c r="D400" s="5" t="s">
        <v>124</v>
      </c>
      <c r="E400" s="48" t="n">
        <v>-8.87</v>
      </c>
      <c r="F400" s="5"/>
      <c r="G400" s="49" t="s">
        <v>125</v>
      </c>
      <c r="H400" s="27" t="str">
        <f aca="false">IFERROR(VLOOKUP(G400,CATEGORÍAS!$A$4:$C$100,2,FALSE()),"Por revisar")</f>
        <v>Gasto</v>
      </c>
      <c r="I400" s="27" t="str">
        <f aca="false">IFERROR(VLOOKUP(G400,CATEGORÍAS!$A$4:$C$100,3,FALSE()),"")</f>
        <v>Comida</v>
      </c>
      <c r="J400" s="49"/>
      <c r="K400" s="50" t="s">
        <v>574</v>
      </c>
    </row>
    <row r="401" customFormat="false" ht="15" hidden="false" customHeight="false" outlineLevel="0" collapsed="false">
      <c r="A401" s="46" t="n">
        <v>45942</v>
      </c>
      <c r="B401" s="47" t="n">
        <f aca="false">DATE(YEAR(A401),MONTH(A401),1)</f>
        <v>45931</v>
      </c>
      <c r="C401" s="5" t="s">
        <v>91</v>
      </c>
      <c r="D401" s="5" t="s">
        <v>209</v>
      </c>
      <c r="E401" s="48" t="n">
        <v>-36.52</v>
      </c>
      <c r="F401" s="48" t="n">
        <v>1259.26</v>
      </c>
      <c r="G401" s="49" t="s">
        <v>210</v>
      </c>
      <c r="H401" s="27" t="str">
        <f aca="false">IFERROR(VLOOKUP(G401,CATEGORÍAS!$A$4:$C$100,2,FALSE()),"Por revisar")</f>
        <v>Gasto</v>
      </c>
      <c r="I401" s="27" t="str">
        <f aca="false">IFERROR(VLOOKUP(G401,CATEGORÍAS!$A$4:$C$100,3,FALSE()),"")</f>
        <v>Casa</v>
      </c>
      <c r="J401" s="49"/>
      <c r="K401" s="50" t="s">
        <v>575</v>
      </c>
    </row>
    <row r="402" customFormat="false" ht="15" hidden="false" customHeight="false" outlineLevel="0" collapsed="false">
      <c r="A402" s="46" t="n">
        <v>45941</v>
      </c>
      <c r="B402" s="47" t="n">
        <f aca="false">DATE(YEAR(A402),MONTH(A402),1)</f>
        <v>45931</v>
      </c>
      <c r="C402" s="5" t="s">
        <v>91</v>
      </c>
      <c r="D402" s="5" t="s">
        <v>151</v>
      </c>
      <c r="E402" s="48" t="n">
        <v>-19</v>
      </c>
      <c r="F402" s="48" t="n">
        <v>1295.78</v>
      </c>
      <c r="G402" s="49" t="s">
        <v>201</v>
      </c>
      <c r="H402" s="27" t="str">
        <f aca="false">IFERROR(VLOOKUP(G402,CATEGORÍAS!$A$4:$C$100,2,FALSE()),"Por revisar")</f>
        <v>Gasto</v>
      </c>
      <c r="I402" s="27" t="str">
        <f aca="false">IFERROR(VLOOKUP(G402,CATEGORÍAS!$A$4:$C$100,3,FALSE()),"")</f>
        <v>Comida</v>
      </c>
      <c r="J402" s="49"/>
      <c r="K402" s="50" t="s">
        <v>576</v>
      </c>
    </row>
    <row r="403" customFormat="false" ht="15" hidden="false" customHeight="false" outlineLevel="0" collapsed="false">
      <c r="A403" s="46" t="n">
        <v>45939</v>
      </c>
      <c r="B403" s="47" t="n">
        <f aca="false">DATE(YEAR(A403),MONTH(A403),1)</f>
        <v>45931</v>
      </c>
      <c r="C403" s="5" t="s">
        <v>91</v>
      </c>
      <c r="D403" s="5" t="s">
        <v>153</v>
      </c>
      <c r="E403" s="48" t="n">
        <v>-12.99</v>
      </c>
      <c r="F403" s="48" t="n">
        <v>1314.78</v>
      </c>
      <c r="G403" s="49" t="s">
        <v>154</v>
      </c>
      <c r="H403" s="27" t="str">
        <f aca="false">IFERROR(VLOOKUP(G403,CATEGORÍAS!$A$4:$C$100,2,FALSE()),"Por revisar")</f>
        <v>Gasto</v>
      </c>
      <c r="I403" s="27" t="str">
        <f aca="false">IFERROR(VLOOKUP(G403,CATEGORÍAS!$A$4:$C$100,3,FALSE()),"")</f>
        <v>Personal</v>
      </c>
      <c r="J403" s="49"/>
      <c r="K403" s="50" t="s">
        <v>577</v>
      </c>
    </row>
    <row r="404" customFormat="false" ht="15" hidden="false" customHeight="false" outlineLevel="0" collapsed="false">
      <c r="A404" s="46" t="n">
        <v>45938</v>
      </c>
      <c r="B404" s="47" t="n">
        <f aca="false">DATE(YEAR(A404),MONTH(A404),1)</f>
        <v>45931</v>
      </c>
      <c r="C404" s="5" t="s">
        <v>91</v>
      </c>
      <c r="D404" s="5" t="s">
        <v>156</v>
      </c>
      <c r="E404" s="48" t="n">
        <v>-37.38</v>
      </c>
      <c r="F404" s="48" t="n">
        <v>1327.77</v>
      </c>
      <c r="G404" s="49" t="s">
        <v>157</v>
      </c>
      <c r="H404" s="27" t="str">
        <f aca="false">IFERROR(VLOOKUP(G404,CATEGORÍAS!$A$4:$C$100,2,FALSE()),"Por revisar")</f>
        <v>Gasto</v>
      </c>
      <c r="I404" s="27" t="str">
        <f aca="false">IFERROR(VLOOKUP(G404,CATEGORÍAS!$A$4:$C$100,3,FALSE()),"")</f>
        <v>Casa</v>
      </c>
      <c r="J404" s="49"/>
      <c r="K404" s="50" t="s">
        <v>578</v>
      </c>
    </row>
    <row r="405" customFormat="false" ht="15" hidden="false" customHeight="false" outlineLevel="0" collapsed="false">
      <c r="A405" s="46" t="n">
        <v>45936</v>
      </c>
      <c r="B405" s="47" t="n">
        <f aca="false">DATE(YEAR(A405),MONTH(A405),1)</f>
        <v>45931</v>
      </c>
      <c r="C405" s="5" t="s">
        <v>91</v>
      </c>
      <c r="D405" s="5" t="s">
        <v>164</v>
      </c>
      <c r="E405" s="48" t="n">
        <v>-14.95</v>
      </c>
      <c r="F405" s="48" t="n">
        <v>1365.15</v>
      </c>
      <c r="G405" s="49" t="s">
        <v>165</v>
      </c>
      <c r="H405" s="27" t="str">
        <f aca="false">IFERROR(VLOOKUP(G405,CATEGORÍAS!$A$4:$C$100,2,FALSE()),"Por revisar")</f>
        <v>Gasto</v>
      </c>
      <c r="I405" s="27" t="str">
        <f aca="false">IFERROR(VLOOKUP(G405,CATEGORÍAS!$A$4:$C$100,3,FALSE()),"")</f>
        <v>Personal</v>
      </c>
      <c r="J405" s="49"/>
      <c r="K405" s="50" t="s">
        <v>579</v>
      </c>
    </row>
    <row r="406" customFormat="false" ht="15" hidden="false" customHeight="false" outlineLevel="0" collapsed="false">
      <c r="A406" s="46" t="n">
        <v>45935</v>
      </c>
      <c r="B406" s="47" t="n">
        <f aca="false">DATE(YEAR(A406),MONTH(A406),1)</f>
        <v>45931</v>
      </c>
      <c r="C406" s="5" t="s">
        <v>91</v>
      </c>
      <c r="D406" s="5" t="s">
        <v>167</v>
      </c>
      <c r="E406" s="48" t="n">
        <v>-39.9</v>
      </c>
      <c r="F406" s="48" t="n">
        <v>1380.1</v>
      </c>
      <c r="G406" s="49" t="s">
        <v>168</v>
      </c>
      <c r="H406" s="27" t="str">
        <f aca="false">IFERROR(VLOOKUP(G406,CATEGORÍAS!$A$4:$C$100,2,FALSE()),"Por revisar")</f>
        <v>Gasto</v>
      </c>
      <c r="I406" s="27" t="str">
        <f aca="false">IFERROR(VLOOKUP(G406,CATEGORÍAS!$A$4:$C$100,3,FALSE()),"")</f>
        <v>Casa</v>
      </c>
      <c r="J406" s="49"/>
      <c r="K406" s="50" t="s">
        <v>580</v>
      </c>
    </row>
    <row r="407" customFormat="false" ht="15" hidden="false" customHeight="false" outlineLevel="0" collapsed="false">
      <c r="A407" s="46" t="n">
        <v>45934</v>
      </c>
      <c r="B407" s="47" t="n">
        <f aca="false">DATE(YEAR(A407),MONTH(A407),1)</f>
        <v>45931</v>
      </c>
      <c r="C407" s="5" t="s">
        <v>120</v>
      </c>
      <c r="D407" s="5" t="s">
        <v>144</v>
      </c>
      <c r="E407" s="48" t="n">
        <v>-32.94</v>
      </c>
      <c r="F407" s="5"/>
      <c r="G407" s="49" t="s">
        <v>122</v>
      </c>
      <c r="H407" s="27" t="str">
        <f aca="false">IFERROR(VLOOKUP(G407,CATEGORÍAS!$A$4:$C$100,2,FALSE()),"Por revisar")</f>
        <v>Gasto</v>
      </c>
      <c r="I407" s="27" t="str">
        <f aca="false">IFERROR(VLOOKUP(G407,CATEGORÍAS!$A$4:$C$100,3,FALSE()),"")</f>
        <v>Comida</v>
      </c>
      <c r="J407" s="49"/>
      <c r="K407" s="50" t="s">
        <v>581</v>
      </c>
    </row>
    <row r="408" customFormat="false" ht="15" hidden="false" customHeight="false" outlineLevel="0" collapsed="false">
      <c r="A408" s="46" t="n">
        <v>45933</v>
      </c>
      <c r="B408" s="47" t="n">
        <f aca="false">DATE(YEAR(A408),MONTH(A408),1)</f>
        <v>45931</v>
      </c>
      <c r="C408" s="5" t="s">
        <v>120</v>
      </c>
      <c r="D408" s="5" t="s">
        <v>124</v>
      </c>
      <c r="E408" s="48" t="n">
        <v>-7.2</v>
      </c>
      <c r="F408" s="5"/>
      <c r="G408" s="49" t="s">
        <v>125</v>
      </c>
      <c r="H408" s="27" t="str">
        <f aca="false">IFERROR(VLOOKUP(G408,CATEGORÍAS!$A$4:$C$100,2,FALSE()),"Por revisar")</f>
        <v>Gasto</v>
      </c>
      <c r="I408" s="27" t="str">
        <f aca="false">IFERROR(VLOOKUP(G408,CATEGORÍAS!$A$4:$C$100,3,FALSE()),"")</f>
        <v>Comida</v>
      </c>
      <c r="J408" s="49"/>
      <c r="K408" s="50" t="s">
        <v>582</v>
      </c>
    </row>
    <row r="409" customFormat="false" ht="15" hidden="false" customHeight="false" outlineLevel="0" collapsed="false">
      <c r="A409" s="46" t="n">
        <v>45933</v>
      </c>
      <c r="B409" s="47" t="n">
        <f aca="false">DATE(YEAR(A409),MONTH(A409),1)</f>
        <v>45931</v>
      </c>
      <c r="C409" s="5" t="s">
        <v>91</v>
      </c>
      <c r="D409" s="5" t="s">
        <v>177</v>
      </c>
      <c r="E409" s="48" t="n">
        <v>-150</v>
      </c>
      <c r="F409" s="48" t="n">
        <v>1420</v>
      </c>
      <c r="G409" s="49" t="s">
        <v>178</v>
      </c>
      <c r="H409" s="27" t="str">
        <f aca="false">IFERROR(VLOOKUP(G409,CATEGORÍAS!$A$4:$C$100,2,FALSE()),"Por revisar")</f>
        <v>Gasto</v>
      </c>
      <c r="I409" s="27" t="str">
        <f aca="false">IFERROR(VLOOKUP(G409,CATEGORÍAS!$A$4:$C$100,3,FALSE()),"")</f>
        <v>Viajes</v>
      </c>
      <c r="J409" s="49"/>
      <c r="K409" s="50" t="s">
        <v>583</v>
      </c>
    </row>
    <row r="410" customFormat="false" ht="15" hidden="false" customHeight="false" outlineLevel="0" collapsed="false">
      <c r="A410" s="46" t="n">
        <v>45932</v>
      </c>
      <c r="B410" s="47" t="n">
        <f aca="false">DATE(YEAR(A410),MONTH(A410),1)</f>
        <v>45931</v>
      </c>
      <c r="C410" s="5" t="s">
        <v>91</v>
      </c>
      <c r="D410" s="5" t="s">
        <v>180</v>
      </c>
      <c r="E410" s="48" t="n">
        <v>-300</v>
      </c>
      <c r="F410" s="48" t="n">
        <v>2050</v>
      </c>
      <c r="G410" s="49" t="s">
        <v>181</v>
      </c>
      <c r="H410" s="27" t="str">
        <f aca="false">IFERROR(VLOOKUP(G410,CATEGORÍAS!$A$4:$C$100,2,FALSE()),"Por revisar")</f>
        <v>Traspaso</v>
      </c>
      <c r="I410" s="27" t="str">
        <f aca="false">IFERROR(VLOOKUP(G410,CATEGORÍAS!$A$4:$C$100,3,FALSE()),"")</f>
        <v>Traspasos</v>
      </c>
      <c r="J410" s="49"/>
      <c r="K410" s="50" t="s">
        <v>584</v>
      </c>
    </row>
    <row r="411" customFormat="false" ht="15" hidden="false" customHeight="false" outlineLevel="0" collapsed="false">
      <c r="A411" s="46" t="n">
        <v>45932</v>
      </c>
      <c r="B411" s="47" t="n">
        <f aca="false">DATE(YEAR(A411),MONTH(A411),1)</f>
        <v>45931</v>
      </c>
      <c r="C411" s="5" t="s">
        <v>91</v>
      </c>
      <c r="D411" s="5" t="s">
        <v>183</v>
      </c>
      <c r="E411" s="48" t="n">
        <v>-480</v>
      </c>
      <c r="F411" s="48" t="n">
        <v>1570</v>
      </c>
      <c r="G411" s="49" t="s">
        <v>181</v>
      </c>
      <c r="H411" s="27" t="str">
        <f aca="false">IFERROR(VLOOKUP(G411,CATEGORÍAS!$A$4:$C$100,2,FALSE()),"Por revisar")</f>
        <v>Traspaso</v>
      </c>
      <c r="I411" s="27" t="str">
        <f aca="false">IFERROR(VLOOKUP(G411,CATEGORÍAS!$A$4:$C$100,3,FALSE()),"")</f>
        <v>Traspasos</v>
      </c>
      <c r="J411" s="49"/>
      <c r="K411" s="50" t="s">
        <v>585</v>
      </c>
    </row>
    <row r="412" customFormat="false" ht="15" hidden="false" customHeight="false" outlineLevel="0" collapsed="false">
      <c r="A412" s="46" t="n">
        <v>45932</v>
      </c>
      <c r="B412" s="47" t="n">
        <f aca="false">DATE(YEAR(A412),MONTH(A412),1)</f>
        <v>45931</v>
      </c>
      <c r="C412" s="5" t="s">
        <v>93</v>
      </c>
      <c r="D412" s="5" t="s">
        <v>185</v>
      </c>
      <c r="E412" s="48" t="n">
        <v>300</v>
      </c>
      <c r="F412" s="48" t="n">
        <v>52300</v>
      </c>
      <c r="G412" s="49" t="s">
        <v>181</v>
      </c>
      <c r="H412" s="27" t="str">
        <f aca="false">IFERROR(VLOOKUP(G412,CATEGORÍAS!$A$4:$C$100,2,FALSE()),"Por revisar")</f>
        <v>Traspaso</v>
      </c>
      <c r="I412" s="27" t="str">
        <f aca="false">IFERROR(VLOOKUP(G412,CATEGORÍAS!$A$4:$C$100,3,FALSE()),"")</f>
        <v>Traspasos</v>
      </c>
      <c r="J412" s="49"/>
      <c r="K412" s="50" t="s">
        <v>586</v>
      </c>
    </row>
    <row r="413" customFormat="false" ht="15" hidden="false" customHeight="false" outlineLevel="0" collapsed="false">
      <c r="A413" s="46" t="n">
        <v>45932</v>
      </c>
      <c r="B413" s="47" t="n">
        <f aca="false">DATE(YEAR(A413),MONTH(A413),1)</f>
        <v>45931</v>
      </c>
      <c r="C413" s="5" t="s">
        <v>92</v>
      </c>
      <c r="D413" s="5" t="s">
        <v>185</v>
      </c>
      <c r="E413" s="48" t="n">
        <v>480</v>
      </c>
      <c r="F413" s="48" t="n">
        <v>1080</v>
      </c>
      <c r="G413" s="49" t="s">
        <v>181</v>
      </c>
      <c r="H413" s="27" t="str">
        <f aca="false">IFERROR(VLOOKUP(G413,CATEGORÍAS!$A$4:$C$100,2,FALSE()),"Por revisar")</f>
        <v>Traspaso</v>
      </c>
      <c r="I413" s="27" t="str">
        <f aca="false">IFERROR(VLOOKUP(G413,CATEGORÍAS!$A$4:$C$100,3,FALSE()),"")</f>
        <v>Traspasos</v>
      </c>
      <c r="J413" s="49"/>
      <c r="K413" s="50" t="s">
        <v>587</v>
      </c>
    </row>
    <row r="414" customFormat="false" ht="15" hidden="false" customHeight="false" outlineLevel="0" collapsed="false">
      <c r="A414" s="46" t="n">
        <v>45931</v>
      </c>
      <c r="B414" s="47" t="n">
        <f aca="false">DATE(YEAR(A414),MONTH(A414),1)</f>
        <v>45931</v>
      </c>
      <c r="C414" s="5" t="s">
        <v>120</v>
      </c>
      <c r="D414" s="5" t="s">
        <v>121</v>
      </c>
      <c r="E414" s="48" t="n">
        <v>-19.41</v>
      </c>
      <c r="F414" s="5"/>
      <c r="G414" s="49" t="s">
        <v>122</v>
      </c>
      <c r="H414" s="27" t="str">
        <f aca="false">IFERROR(VLOOKUP(G414,CATEGORÍAS!$A$4:$C$100,2,FALSE()),"Por revisar")</f>
        <v>Gasto</v>
      </c>
      <c r="I414" s="27" t="str">
        <f aca="false">IFERROR(VLOOKUP(G414,CATEGORÍAS!$A$4:$C$100,3,FALSE()),"")</f>
        <v>Comida</v>
      </c>
      <c r="J414" s="49"/>
      <c r="K414" s="50" t="s">
        <v>588</v>
      </c>
    </row>
    <row r="415" customFormat="false" ht="15" hidden="false" customHeight="false" outlineLevel="0" collapsed="false">
      <c r="A415" s="46" t="n">
        <v>45931</v>
      </c>
      <c r="B415" s="47" t="n">
        <f aca="false">DATE(YEAR(A415),MONTH(A415),1)</f>
        <v>45931</v>
      </c>
      <c r="C415" s="5" t="s">
        <v>120</v>
      </c>
      <c r="D415" s="5" t="s">
        <v>127</v>
      </c>
      <c r="E415" s="48" t="n">
        <v>-52.52</v>
      </c>
      <c r="F415" s="5"/>
      <c r="G415" s="49" t="s">
        <v>125</v>
      </c>
      <c r="H415" s="27" t="str">
        <f aca="false">IFERROR(VLOOKUP(G415,CATEGORÍAS!$A$4:$C$100,2,FALSE()),"Por revisar")</f>
        <v>Gasto</v>
      </c>
      <c r="I415" s="27" t="str">
        <f aca="false">IFERROR(VLOOKUP(G415,CATEGORÍAS!$A$4:$C$100,3,FALSE()),"")</f>
        <v>Comida</v>
      </c>
      <c r="J415" s="49"/>
      <c r="K415" s="50" t="s">
        <v>589</v>
      </c>
    </row>
    <row r="416" customFormat="false" ht="15" hidden="false" customHeight="false" outlineLevel="0" collapsed="false">
      <c r="A416" s="46" t="n">
        <v>45931</v>
      </c>
      <c r="B416" s="47" t="n">
        <f aca="false">DATE(YEAR(A416),MONTH(A416),1)</f>
        <v>45931</v>
      </c>
      <c r="C416" s="5" t="s">
        <v>91</v>
      </c>
      <c r="D416" s="5" t="s">
        <v>590</v>
      </c>
      <c r="E416" s="48" t="n">
        <v>-850</v>
      </c>
      <c r="F416" s="48" t="n">
        <v>2350</v>
      </c>
      <c r="G416" s="49" t="s">
        <v>189</v>
      </c>
      <c r="H416" s="27" t="str">
        <f aca="false">IFERROR(VLOOKUP(G416,CATEGORÍAS!$A$4:$C$100,2,FALSE()),"Por revisar")</f>
        <v>Gasto</v>
      </c>
      <c r="I416" s="27" t="str">
        <f aca="false">IFERROR(VLOOKUP(G416,CATEGORÍAS!$A$4:$C$100,3,FALSE()),"")</f>
        <v>Casa</v>
      </c>
      <c r="J416" s="49"/>
      <c r="K416" s="50" t="s">
        <v>591</v>
      </c>
    </row>
  </sheetData>
  <autoFilter ref="A3:K416"/>
  <conditionalFormatting sqref="A4:J5000">
    <cfRule type="expression" priority="2" aboveAverage="0" equalAverage="0" bottom="0" percent="0" rank="0" text="" dxfId="0">
      <formula>$H4="Por revisar"</formula>
    </cfRule>
  </conditionalFormatting>
  <dataValidations count="1">
    <dataValidation allowBlank="true" errorStyle="stop" operator="between" showDropDown="false" showErrorMessage="false" showInputMessage="false" sqref="G4:G1416" type="list">
      <formula1>CATEGORÍAS!$A$4:$A$100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2"/>
    <col collapsed="false" customWidth="true" hidden="false" outlineLevel="0" max="5" min="5" style="0" width="44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592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593</v>
      </c>
    </row>
    <row r="3" customFormat="false" ht="15" hidden="false" customHeight="false" outlineLevel="0" collapsed="false">
      <c r="A3" s="22" t="s">
        <v>594</v>
      </c>
      <c r="B3" s="22" t="s">
        <v>595</v>
      </c>
      <c r="C3" s="22" t="s">
        <v>130</v>
      </c>
      <c r="D3" s="22" t="s">
        <v>596</v>
      </c>
      <c r="E3" s="22" t="s">
        <v>112</v>
      </c>
      <c r="F3" s="22" t="s">
        <v>597</v>
      </c>
    </row>
    <row r="4" customFormat="false" ht="15" hidden="false" customHeight="false" outlineLevel="0" collapsed="false">
      <c r="A4" s="51" t="n">
        <v>46174</v>
      </c>
      <c r="B4" s="52" t="n">
        <v>118.4</v>
      </c>
      <c r="C4" s="52" t="n">
        <v>40</v>
      </c>
      <c r="D4" s="53" t="n">
        <f aca="false">IF(A4="","",N(B4)+N(C4))</f>
        <v>158.4</v>
      </c>
      <c r="E4" s="49" t="s">
        <v>598</v>
      </c>
      <c r="F4" s="54" t="n">
        <f aca="false">IF(A4="","",DATE(YEAR(A4),MONTH(A4),1))</f>
        <v>46174</v>
      </c>
    </row>
    <row r="5" customFormat="false" ht="15" hidden="false" customHeight="false" outlineLevel="0" collapsed="false">
      <c r="A5" s="51" t="n">
        <v>46204</v>
      </c>
      <c r="B5" s="52" t="n">
        <v>131.25</v>
      </c>
      <c r="C5" s="52" t="n">
        <v>40</v>
      </c>
      <c r="D5" s="53" t="n">
        <f aca="false">IF(A5="","",N(B5)+N(C5))</f>
        <v>171.25</v>
      </c>
      <c r="E5" s="49" t="s">
        <v>599</v>
      </c>
      <c r="F5" s="54" t="n">
        <f aca="false">IF(A5="","",DATE(YEAR(A5),MONTH(A5),1))</f>
        <v>46204</v>
      </c>
    </row>
    <row r="6" customFormat="false" ht="15" hidden="false" customHeight="false" outlineLevel="0" collapsed="false">
      <c r="A6" s="51" t="n">
        <v>46235</v>
      </c>
      <c r="B6" s="52" t="n">
        <v>96.1</v>
      </c>
      <c r="C6" s="52" t="n">
        <v>20</v>
      </c>
      <c r="D6" s="53" t="n">
        <f aca="false">IF(A6="","",N(B6)+N(C6))</f>
        <v>116.1</v>
      </c>
      <c r="E6" s="49" t="s">
        <v>600</v>
      </c>
      <c r="F6" s="54" t="n">
        <f aca="false">IF(A6="","",DATE(YEAR(A6),MONTH(A6),1))</f>
        <v>46235</v>
      </c>
    </row>
    <row r="7" customFormat="false" ht="15" hidden="false" customHeight="false" outlineLevel="0" collapsed="false">
      <c r="A7" s="51" t="n">
        <v>46266</v>
      </c>
      <c r="B7" s="52" t="n">
        <v>124.8</v>
      </c>
      <c r="C7" s="52" t="n">
        <v>40</v>
      </c>
      <c r="D7" s="53" t="n">
        <f aca="false">IF(A7="","",N(B7)+N(C7))</f>
        <v>164.8</v>
      </c>
      <c r="E7" s="49" t="s">
        <v>601</v>
      </c>
      <c r="F7" s="54" t="n">
        <f aca="false">IF(A7="","",DATE(YEAR(A7),MONTH(A7),1))</f>
        <v>46266</v>
      </c>
    </row>
    <row r="8" customFormat="false" ht="15" hidden="false" customHeight="false" outlineLevel="0" collapsed="false">
      <c r="A8" s="51"/>
      <c r="B8" s="52"/>
      <c r="C8" s="52"/>
      <c r="D8" s="53" t="str">
        <f aca="false">IF(A8="","",N(B8)+N(C8))</f>
        <v/>
      </c>
      <c r="E8" s="49"/>
      <c r="F8" s="54" t="str">
        <f aca="false">IF(A8="","",DATE(YEAR(A8),MONTH(A8),1))</f>
        <v/>
      </c>
    </row>
    <row r="9" customFormat="false" ht="15" hidden="false" customHeight="false" outlineLevel="0" collapsed="false">
      <c r="A9" s="51"/>
      <c r="B9" s="52"/>
      <c r="C9" s="52"/>
      <c r="D9" s="53" t="str">
        <f aca="false">IF(A9="","",N(B9)+N(C9))</f>
        <v/>
      </c>
      <c r="E9" s="49"/>
      <c r="F9" s="54" t="str">
        <f aca="false">IF(A9="","",DATE(YEAR(A9),MONTH(A9),1))</f>
        <v/>
      </c>
    </row>
    <row r="10" customFormat="false" ht="15" hidden="false" customHeight="false" outlineLevel="0" collapsed="false">
      <c r="A10" s="51"/>
      <c r="B10" s="52"/>
      <c r="C10" s="52"/>
      <c r="D10" s="53" t="str">
        <f aca="false">IF(A10="","",N(B10)+N(C10))</f>
        <v/>
      </c>
      <c r="E10" s="49"/>
      <c r="F10" s="54" t="str">
        <f aca="false">IF(A10="","",DATE(YEAR(A10),MONTH(A10),1))</f>
        <v/>
      </c>
    </row>
    <row r="11" customFormat="false" ht="15" hidden="false" customHeight="false" outlineLevel="0" collapsed="false">
      <c r="A11" s="51"/>
      <c r="B11" s="52"/>
      <c r="C11" s="52"/>
      <c r="D11" s="53" t="str">
        <f aca="false">IF(A11="","",N(B11)+N(C11))</f>
        <v/>
      </c>
      <c r="E11" s="49"/>
      <c r="F11" s="54" t="str">
        <f aca="false">IF(A11="","",DATE(YEAR(A11),MONTH(A11),1))</f>
        <v/>
      </c>
    </row>
    <row r="12" customFormat="false" ht="15" hidden="false" customHeight="false" outlineLevel="0" collapsed="false">
      <c r="A12" s="51"/>
      <c r="B12" s="52"/>
      <c r="C12" s="52"/>
      <c r="D12" s="53" t="str">
        <f aca="false">IF(A12="","",N(B12)+N(C12))</f>
        <v/>
      </c>
      <c r="E12" s="49"/>
      <c r="F12" s="54" t="str">
        <f aca="false">IF(A12="","",DATE(YEAR(A12),MONTH(A12),1))</f>
        <v/>
      </c>
    </row>
    <row r="13" customFormat="false" ht="15" hidden="false" customHeight="false" outlineLevel="0" collapsed="false">
      <c r="A13" s="51"/>
      <c r="B13" s="52"/>
      <c r="C13" s="52"/>
      <c r="D13" s="53" t="str">
        <f aca="false">IF(A13="","",N(B13)+N(C13))</f>
        <v/>
      </c>
      <c r="E13" s="49"/>
      <c r="F13" s="54" t="str">
        <f aca="false">IF(A13="","",DATE(YEAR(A13),MONTH(A13),1))</f>
        <v/>
      </c>
    </row>
    <row r="14" customFormat="false" ht="15" hidden="false" customHeight="false" outlineLevel="0" collapsed="false">
      <c r="A14" s="51"/>
      <c r="B14" s="52"/>
      <c r="C14" s="52"/>
      <c r="D14" s="53" t="str">
        <f aca="false">IF(A14="","",N(B14)+N(C14))</f>
        <v/>
      </c>
      <c r="E14" s="49"/>
      <c r="F14" s="54" t="str">
        <f aca="false">IF(A14="","",DATE(YEAR(A14),MONTH(A14),1))</f>
        <v/>
      </c>
    </row>
    <row r="15" customFormat="false" ht="15" hidden="false" customHeight="false" outlineLevel="0" collapsed="false">
      <c r="A15" s="51"/>
      <c r="B15" s="52"/>
      <c r="C15" s="52"/>
      <c r="D15" s="53" t="str">
        <f aca="false">IF(A15="","",N(B15)+N(C15))</f>
        <v/>
      </c>
      <c r="E15" s="49"/>
      <c r="F15" s="54" t="str">
        <f aca="false">IF(A15="","",DATE(YEAR(A15),MONTH(A15),1))</f>
        <v/>
      </c>
    </row>
    <row r="16" customFormat="false" ht="15" hidden="false" customHeight="false" outlineLevel="0" collapsed="false">
      <c r="A16" s="51"/>
      <c r="B16" s="52"/>
      <c r="C16" s="52"/>
      <c r="D16" s="53" t="str">
        <f aca="false">IF(A16="","",N(B16)+N(C16))</f>
        <v/>
      </c>
      <c r="E16" s="49"/>
      <c r="F16" s="54" t="str">
        <f aca="false">IF(A16="","",DATE(YEAR(A16),MONTH(A16),1))</f>
        <v/>
      </c>
    </row>
    <row r="17" customFormat="false" ht="15" hidden="false" customHeight="false" outlineLevel="0" collapsed="false">
      <c r="A17" s="51"/>
      <c r="B17" s="52"/>
      <c r="C17" s="52"/>
      <c r="D17" s="53" t="str">
        <f aca="false">IF(A17="","",N(B17)+N(C17))</f>
        <v/>
      </c>
      <c r="E17" s="49"/>
      <c r="F17" s="54" t="str">
        <f aca="false">IF(A17="","",DATE(YEAR(A17),MONTH(A17),1))</f>
        <v/>
      </c>
    </row>
    <row r="18" customFormat="false" ht="15" hidden="false" customHeight="false" outlineLevel="0" collapsed="false">
      <c r="A18" s="51"/>
      <c r="B18" s="52"/>
      <c r="C18" s="52"/>
      <c r="D18" s="53" t="str">
        <f aca="false">IF(A18="","",N(B18)+N(C18))</f>
        <v/>
      </c>
      <c r="E18" s="49"/>
      <c r="F18" s="54" t="str">
        <f aca="false">IF(A18="","",DATE(YEAR(A18),MONTH(A18),1))</f>
        <v/>
      </c>
    </row>
    <row r="19" customFormat="false" ht="15" hidden="false" customHeight="false" outlineLevel="0" collapsed="false">
      <c r="A19" s="51"/>
      <c r="B19" s="52"/>
      <c r="C19" s="52"/>
      <c r="D19" s="53" t="str">
        <f aca="false">IF(A19="","",N(B19)+N(C19))</f>
        <v/>
      </c>
      <c r="E19" s="49"/>
      <c r="F19" s="54" t="str">
        <f aca="false">IF(A19="","",DATE(YEAR(A19),MONTH(A19),1))</f>
        <v/>
      </c>
    </row>
    <row r="20" customFormat="false" ht="15" hidden="false" customHeight="false" outlineLevel="0" collapsed="false">
      <c r="A20" s="51"/>
      <c r="B20" s="52"/>
      <c r="C20" s="52"/>
      <c r="D20" s="53" t="str">
        <f aca="false">IF(A20="","",N(B20)+N(C20))</f>
        <v/>
      </c>
      <c r="E20" s="49"/>
      <c r="F20" s="54" t="str">
        <f aca="false">IF(A20="","",DATE(YEAR(A20),MONTH(A20),1))</f>
        <v/>
      </c>
    </row>
    <row r="21" customFormat="false" ht="15" hidden="false" customHeight="false" outlineLevel="0" collapsed="false">
      <c r="A21" s="51"/>
      <c r="B21" s="52"/>
      <c r="C21" s="52"/>
      <c r="D21" s="53" t="str">
        <f aca="false">IF(A21="","",N(B21)+N(C21))</f>
        <v/>
      </c>
      <c r="E21" s="49"/>
      <c r="F21" s="54" t="str">
        <f aca="false">IF(A21="","",DATE(YEAR(A21),MONTH(A21),1))</f>
        <v/>
      </c>
    </row>
    <row r="22" customFormat="false" ht="15" hidden="false" customHeight="false" outlineLevel="0" collapsed="false">
      <c r="A22" s="51"/>
      <c r="B22" s="52"/>
      <c r="C22" s="52"/>
      <c r="D22" s="53" t="str">
        <f aca="false">IF(A22="","",N(B22)+N(C22))</f>
        <v/>
      </c>
      <c r="E22" s="49"/>
      <c r="F22" s="54" t="str">
        <f aca="false">IF(A22="","",DATE(YEAR(A22),MONTH(A22),1))</f>
        <v/>
      </c>
    </row>
    <row r="23" customFormat="false" ht="15" hidden="false" customHeight="false" outlineLevel="0" collapsed="false">
      <c r="A23" s="51"/>
      <c r="B23" s="52"/>
      <c r="C23" s="52"/>
      <c r="D23" s="53" t="str">
        <f aca="false">IF(A23="","",N(B23)+N(C23))</f>
        <v/>
      </c>
      <c r="E23" s="49"/>
      <c r="F23" s="54" t="str">
        <f aca="false">IF(A23="","",DATE(YEAR(A23),MONTH(A23),1))</f>
        <v/>
      </c>
    </row>
    <row r="24" customFormat="false" ht="15" hidden="false" customHeight="false" outlineLevel="0" collapsed="false">
      <c r="A24" s="51"/>
      <c r="B24" s="52"/>
      <c r="C24" s="52"/>
      <c r="D24" s="53" t="str">
        <f aca="false">IF(A24="","",N(B24)+N(C24))</f>
        <v/>
      </c>
      <c r="E24" s="49"/>
      <c r="F24" s="54" t="str">
        <f aca="false">IF(A24="","",DATE(YEAR(A24),MONTH(A24),1))</f>
        <v/>
      </c>
    </row>
    <row r="25" customFormat="false" ht="15" hidden="false" customHeight="false" outlineLevel="0" collapsed="false">
      <c r="A25" s="51"/>
      <c r="B25" s="52"/>
      <c r="C25" s="52"/>
      <c r="D25" s="53" t="str">
        <f aca="false">IF(A25="","",N(B25)+N(C25))</f>
        <v/>
      </c>
      <c r="E25" s="49"/>
      <c r="F25" s="54" t="str">
        <f aca="false">IF(A25="","",DATE(YEAR(A25),MONTH(A25),1))</f>
        <v/>
      </c>
    </row>
    <row r="26" customFormat="false" ht="15" hidden="false" customHeight="false" outlineLevel="0" collapsed="false">
      <c r="A26" s="51"/>
      <c r="B26" s="52"/>
      <c r="C26" s="52"/>
      <c r="D26" s="53" t="str">
        <f aca="false">IF(A26="","",N(B26)+N(C26))</f>
        <v/>
      </c>
      <c r="E26" s="49"/>
      <c r="F26" s="54" t="str">
        <f aca="false">IF(A26="","",DATE(YEAR(A26),MONTH(A26),1))</f>
        <v/>
      </c>
    </row>
    <row r="27" customFormat="false" ht="15" hidden="false" customHeight="false" outlineLevel="0" collapsed="false">
      <c r="A27" s="51"/>
      <c r="B27" s="52"/>
      <c r="C27" s="52"/>
      <c r="D27" s="53" t="str">
        <f aca="false">IF(A27="","",N(B27)+N(C27))</f>
        <v/>
      </c>
      <c r="E27" s="49"/>
      <c r="F27" s="54" t="str">
        <f aca="false">IF(A27="","",DATE(YEAR(A27),MONTH(A27),1))</f>
        <v/>
      </c>
    </row>
    <row r="28" customFormat="false" ht="15" hidden="false" customHeight="false" outlineLevel="0" collapsed="false">
      <c r="A28" s="51"/>
      <c r="B28" s="52"/>
      <c r="C28" s="52"/>
      <c r="D28" s="53" t="str">
        <f aca="false">IF(A28="","",N(B28)+N(C28))</f>
        <v/>
      </c>
      <c r="E28" s="49"/>
      <c r="F28" s="54" t="str">
        <f aca="false">IF(A28="","",DATE(YEAR(A28),MONTH(A28),1))</f>
        <v/>
      </c>
    </row>
    <row r="29" customFormat="false" ht="15" hidden="false" customHeight="false" outlineLevel="0" collapsed="false">
      <c r="A29" s="51"/>
      <c r="B29" s="52"/>
      <c r="C29" s="52"/>
      <c r="D29" s="53" t="str">
        <f aca="false">IF(A29="","",N(B29)+N(C29))</f>
        <v/>
      </c>
      <c r="E29" s="49"/>
      <c r="F29" s="54" t="str">
        <f aca="false">IF(A29="","",DATE(YEAR(A29),MONTH(A29),1))</f>
        <v/>
      </c>
    </row>
    <row r="30" customFormat="false" ht="15" hidden="false" customHeight="false" outlineLevel="0" collapsed="false">
      <c r="A30" s="51"/>
      <c r="B30" s="52"/>
      <c r="C30" s="52"/>
      <c r="D30" s="53" t="str">
        <f aca="false">IF(A30="","",N(B30)+N(C30))</f>
        <v/>
      </c>
      <c r="E30" s="49"/>
      <c r="F30" s="54" t="str">
        <f aca="false">IF(A30="","",DATE(YEAR(A30),MONTH(A30),1))</f>
        <v/>
      </c>
    </row>
    <row r="31" customFormat="false" ht="15" hidden="false" customHeight="false" outlineLevel="0" collapsed="false">
      <c r="A31" s="51"/>
      <c r="B31" s="52"/>
      <c r="C31" s="52"/>
      <c r="D31" s="53" t="str">
        <f aca="false">IF(A31="","",N(B31)+N(C31))</f>
        <v/>
      </c>
      <c r="E31" s="49"/>
      <c r="F31" s="54" t="str">
        <f aca="false">IF(A31="","",DATE(YEAR(A31),MONTH(A31),1))</f>
        <v/>
      </c>
    </row>
    <row r="32" customFormat="false" ht="15" hidden="false" customHeight="false" outlineLevel="0" collapsed="false">
      <c r="A32" s="51"/>
      <c r="B32" s="52"/>
      <c r="C32" s="52"/>
      <c r="D32" s="53" t="str">
        <f aca="false">IF(A32="","",N(B32)+N(C32))</f>
        <v/>
      </c>
      <c r="E32" s="49"/>
      <c r="F32" s="54" t="str">
        <f aca="false">IF(A32="","",DATE(YEAR(A32),MONTH(A32),1))</f>
        <v/>
      </c>
    </row>
    <row r="33" customFormat="false" ht="15" hidden="false" customHeight="false" outlineLevel="0" collapsed="false">
      <c r="A33" s="51"/>
      <c r="B33" s="52"/>
      <c r="C33" s="52"/>
      <c r="D33" s="53" t="str">
        <f aca="false">IF(A33="","",N(B33)+N(C33))</f>
        <v/>
      </c>
      <c r="E33" s="49"/>
      <c r="F33" s="54" t="str">
        <f aca="false">IF(A33="","",DATE(YEAR(A33),MONTH(A33),1))</f>
        <v/>
      </c>
    </row>
    <row r="34" customFormat="false" ht="15" hidden="false" customHeight="false" outlineLevel="0" collapsed="false">
      <c r="A34" s="51"/>
      <c r="B34" s="52"/>
      <c r="C34" s="52"/>
      <c r="D34" s="53" t="str">
        <f aca="false">IF(A34="","",N(B34)+N(C34))</f>
        <v/>
      </c>
      <c r="E34" s="49"/>
      <c r="F34" s="54" t="str">
        <f aca="false">IF(A34="","",DATE(YEAR(A34),MONTH(A34),1))</f>
        <v/>
      </c>
    </row>
    <row r="35" customFormat="false" ht="15" hidden="false" customHeight="false" outlineLevel="0" collapsed="false">
      <c r="A35" s="51"/>
      <c r="B35" s="52"/>
      <c r="C35" s="52"/>
      <c r="D35" s="53" t="str">
        <f aca="false">IF(A35="","",N(B35)+N(C35))</f>
        <v/>
      </c>
      <c r="E35" s="49"/>
      <c r="F35" s="54" t="str">
        <f aca="false">IF(A35="","",DATE(YEAR(A35),MONTH(A35),1))</f>
        <v/>
      </c>
    </row>
    <row r="36" customFormat="false" ht="15" hidden="false" customHeight="false" outlineLevel="0" collapsed="false">
      <c r="A36" s="51"/>
      <c r="B36" s="52"/>
      <c r="C36" s="52"/>
      <c r="D36" s="53" t="str">
        <f aca="false">IF(A36="","",N(B36)+N(C36))</f>
        <v/>
      </c>
      <c r="E36" s="49"/>
      <c r="F36" s="54" t="str">
        <f aca="false">IF(A36="","",DATE(YEAR(A36),MONTH(A36),1))</f>
        <v/>
      </c>
    </row>
    <row r="37" customFormat="false" ht="15" hidden="false" customHeight="false" outlineLevel="0" collapsed="false">
      <c r="A37" s="51"/>
      <c r="B37" s="52"/>
      <c r="C37" s="52"/>
      <c r="D37" s="53" t="str">
        <f aca="false">IF(A37="","",N(B37)+N(C37))</f>
        <v/>
      </c>
      <c r="E37" s="49"/>
      <c r="F37" s="54" t="str">
        <f aca="false">IF(A37="","",DATE(YEAR(A37),MONTH(A37),1))</f>
        <v/>
      </c>
    </row>
    <row r="38" customFormat="false" ht="15" hidden="false" customHeight="false" outlineLevel="0" collapsed="false">
      <c r="A38" s="51"/>
      <c r="B38" s="52"/>
      <c r="C38" s="52"/>
      <c r="D38" s="53" t="str">
        <f aca="false">IF(A38="","",N(B38)+N(C38))</f>
        <v/>
      </c>
      <c r="E38" s="49"/>
      <c r="F38" s="54" t="str">
        <f aca="false">IF(A38="","",DATE(YEAR(A38),MONTH(A38),1))</f>
        <v/>
      </c>
    </row>
    <row r="39" customFormat="false" ht="15" hidden="false" customHeight="false" outlineLevel="0" collapsed="false">
      <c r="A39" s="51"/>
      <c r="B39" s="52"/>
      <c r="C39" s="52"/>
      <c r="D39" s="53" t="str">
        <f aca="false">IF(A39="","",N(B39)+N(C39))</f>
        <v/>
      </c>
      <c r="E39" s="49"/>
      <c r="F39" s="54" t="str">
        <f aca="false">IF(A39="","",DATE(YEAR(A39),MONTH(A39),1))</f>
        <v/>
      </c>
    </row>
    <row r="40" customFormat="false" ht="15" hidden="false" customHeight="false" outlineLevel="0" collapsed="false">
      <c r="A40" s="51"/>
      <c r="B40" s="52"/>
      <c r="C40" s="52"/>
      <c r="D40" s="53" t="str">
        <f aca="false">IF(A40="","",N(B40)+N(C40))</f>
        <v/>
      </c>
      <c r="E40" s="49"/>
      <c r="F40" s="54" t="str">
        <f aca="false">IF(A40="","",DATE(YEAR(A40),MONTH(A40),1))</f>
        <v/>
      </c>
    </row>
    <row r="41" customFormat="false" ht="15" hidden="false" customHeight="false" outlineLevel="0" collapsed="false">
      <c r="A41" s="51"/>
      <c r="B41" s="52"/>
      <c r="C41" s="52"/>
      <c r="D41" s="53" t="str">
        <f aca="false">IF(A41="","",N(B41)+N(C41))</f>
        <v/>
      </c>
      <c r="E41" s="49"/>
      <c r="F41" s="54" t="str">
        <f aca="false">IF(A41="","",DATE(YEAR(A41),MONTH(A41),1))</f>
        <v/>
      </c>
    </row>
    <row r="42" customFormat="false" ht="15" hidden="false" customHeight="false" outlineLevel="0" collapsed="false">
      <c r="A42" s="51"/>
      <c r="B42" s="52"/>
      <c r="C42" s="52"/>
      <c r="D42" s="53" t="str">
        <f aca="false">IF(A42="","",N(B42)+N(C42))</f>
        <v/>
      </c>
      <c r="E42" s="49"/>
      <c r="F42" s="54" t="str">
        <f aca="false">IF(A42="","",DATE(YEAR(A42),MONTH(A42),1))</f>
        <v/>
      </c>
    </row>
    <row r="43" customFormat="false" ht="15" hidden="false" customHeight="false" outlineLevel="0" collapsed="false">
      <c r="A43" s="51"/>
      <c r="B43" s="52"/>
      <c r="C43" s="52"/>
      <c r="D43" s="53" t="str">
        <f aca="false">IF(A43="","",N(B43)+N(C43))</f>
        <v/>
      </c>
      <c r="E43" s="49"/>
      <c r="F43" s="54" t="str">
        <f aca="false">IF(A43="","",DATE(YEAR(A43),MONTH(A43),1))</f>
        <v/>
      </c>
    </row>
    <row r="44" customFormat="false" ht="15" hidden="false" customHeight="false" outlineLevel="0" collapsed="false">
      <c r="A44" s="51"/>
      <c r="B44" s="52"/>
      <c r="C44" s="52"/>
      <c r="D44" s="53" t="str">
        <f aca="false">IF(A44="","",N(B44)+N(C44))</f>
        <v/>
      </c>
      <c r="E44" s="49"/>
      <c r="F44" s="54" t="str">
        <f aca="false">IF(A44="","",DATE(YEAR(A44),MONTH(A44),1))</f>
        <v/>
      </c>
    </row>
    <row r="45" customFormat="false" ht="15" hidden="false" customHeight="false" outlineLevel="0" collapsed="false">
      <c r="A45" s="51"/>
      <c r="B45" s="52"/>
      <c r="C45" s="52"/>
      <c r="D45" s="53" t="str">
        <f aca="false">IF(A45="","",N(B45)+N(C45))</f>
        <v/>
      </c>
      <c r="E45" s="49"/>
      <c r="F45" s="54" t="str">
        <f aca="false">IF(A45="","",DATE(YEAR(A45),MONTH(A45),1))</f>
        <v/>
      </c>
    </row>
    <row r="46" customFormat="false" ht="15" hidden="false" customHeight="false" outlineLevel="0" collapsed="false">
      <c r="A46" s="51"/>
      <c r="B46" s="52"/>
      <c r="C46" s="52"/>
      <c r="D46" s="53" t="str">
        <f aca="false">IF(A46="","",N(B46)+N(C46))</f>
        <v/>
      </c>
      <c r="E46" s="49"/>
      <c r="F46" s="54" t="str">
        <f aca="false">IF(A46="","",DATE(YEAR(A46),MONTH(A46),1))</f>
        <v/>
      </c>
    </row>
    <row r="47" customFormat="false" ht="15" hidden="false" customHeight="false" outlineLevel="0" collapsed="false">
      <c r="A47" s="51"/>
      <c r="B47" s="52"/>
      <c r="C47" s="52"/>
      <c r="D47" s="53" t="str">
        <f aca="false">IF(A47="","",N(B47)+N(C47))</f>
        <v/>
      </c>
      <c r="E47" s="49"/>
      <c r="F47" s="54" t="str">
        <f aca="false">IF(A47="","",DATE(YEAR(A47),MONTH(A47),1))</f>
        <v/>
      </c>
    </row>
    <row r="48" customFormat="false" ht="15" hidden="false" customHeight="false" outlineLevel="0" collapsed="false">
      <c r="A48" s="51"/>
      <c r="B48" s="52"/>
      <c r="C48" s="52"/>
      <c r="D48" s="53" t="str">
        <f aca="false">IF(A48="","",N(B48)+N(C48))</f>
        <v/>
      </c>
      <c r="E48" s="49"/>
      <c r="F48" s="54" t="str">
        <f aca="false">IF(A48="","",DATE(YEAR(A48),MONTH(A48),1))</f>
        <v/>
      </c>
    </row>
    <row r="49" customFormat="false" ht="15" hidden="false" customHeight="false" outlineLevel="0" collapsed="false">
      <c r="A49" s="51"/>
      <c r="B49" s="52"/>
      <c r="C49" s="52"/>
      <c r="D49" s="53" t="str">
        <f aca="false">IF(A49="","",N(B49)+N(C49))</f>
        <v/>
      </c>
      <c r="E49" s="49"/>
      <c r="F49" s="54" t="str">
        <f aca="false">IF(A49="","",DATE(YEAR(A49),MONTH(A49),1))</f>
        <v/>
      </c>
    </row>
    <row r="50" customFormat="false" ht="15" hidden="false" customHeight="false" outlineLevel="0" collapsed="false">
      <c r="A50" s="51"/>
      <c r="B50" s="52"/>
      <c r="C50" s="52"/>
      <c r="D50" s="53" t="str">
        <f aca="false">IF(A50="","",N(B50)+N(C50))</f>
        <v/>
      </c>
      <c r="E50" s="49"/>
      <c r="F50" s="54" t="str">
        <f aca="false">IF(A50="","",DATE(YEAR(A50),MONTH(A50),1))</f>
        <v/>
      </c>
    </row>
    <row r="51" customFormat="false" ht="15" hidden="false" customHeight="false" outlineLevel="0" collapsed="false">
      <c r="A51" s="51"/>
      <c r="B51" s="52"/>
      <c r="C51" s="52"/>
      <c r="D51" s="53" t="str">
        <f aca="false">IF(A51="","",N(B51)+N(C51))</f>
        <v/>
      </c>
      <c r="E51" s="49"/>
      <c r="F51" s="54" t="str">
        <f aca="false">IF(A51="","",DATE(YEAR(A51),MONTH(A51),1))</f>
        <v/>
      </c>
    </row>
    <row r="52" customFormat="false" ht="15" hidden="false" customHeight="false" outlineLevel="0" collapsed="false">
      <c r="A52" s="51"/>
      <c r="B52" s="52"/>
      <c r="C52" s="52"/>
      <c r="D52" s="53" t="str">
        <f aca="false">IF(A52="","",N(B52)+N(C52))</f>
        <v/>
      </c>
      <c r="E52" s="49"/>
      <c r="F52" s="54" t="str">
        <f aca="false">IF(A52="","",DATE(YEAR(A52),MONTH(A52),1))</f>
        <v/>
      </c>
    </row>
    <row r="53" customFormat="false" ht="15" hidden="false" customHeight="false" outlineLevel="0" collapsed="false">
      <c r="A53" s="51"/>
      <c r="B53" s="52"/>
      <c r="C53" s="52"/>
      <c r="D53" s="53" t="str">
        <f aca="false">IF(A53="","",N(B53)+N(C53))</f>
        <v/>
      </c>
      <c r="E53" s="49"/>
      <c r="F53" s="54" t="str">
        <f aca="false">IF(A53="","",DATE(YEAR(A53),MONTH(A53),1))</f>
        <v/>
      </c>
    </row>
    <row r="54" customFormat="false" ht="15" hidden="false" customHeight="false" outlineLevel="0" collapsed="false">
      <c r="A54" s="51"/>
      <c r="B54" s="52"/>
      <c r="C54" s="52"/>
      <c r="D54" s="53" t="str">
        <f aca="false">IF(A54="","",N(B54)+N(C54))</f>
        <v/>
      </c>
      <c r="E54" s="49"/>
      <c r="F54" s="54" t="str">
        <f aca="false">IF(A54="","",DATE(YEAR(A54),MONTH(A54),1))</f>
        <v/>
      </c>
    </row>
    <row r="55" customFormat="false" ht="15" hidden="false" customHeight="false" outlineLevel="0" collapsed="false">
      <c r="A55" s="51"/>
      <c r="B55" s="52"/>
      <c r="C55" s="52"/>
      <c r="D55" s="53" t="str">
        <f aca="false">IF(A55="","",N(B55)+N(C55))</f>
        <v/>
      </c>
      <c r="E55" s="49"/>
      <c r="F55" s="54" t="str">
        <f aca="false">IF(A55="","",DATE(YEAR(A55),MONTH(A55),1))</f>
        <v/>
      </c>
    </row>
    <row r="56" customFormat="false" ht="15" hidden="false" customHeight="false" outlineLevel="0" collapsed="false">
      <c r="A56" s="51"/>
      <c r="B56" s="52"/>
      <c r="C56" s="52"/>
      <c r="D56" s="53" t="str">
        <f aca="false">IF(A56="","",N(B56)+N(C56))</f>
        <v/>
      </c>
      <c r="E56" s="49"/>
      <c r="F56" s="54" t="str">
        <f aca="false">IF(A56="","",DATE(YEAR(A56),MONTH(A56),1))</f>
        <v/>
      </c>
    </row>
    <row r="57" customFormat="false" ht="15" hidden="false" customHeight="false" outlineLevel="0" collapsed="false">
      <c r="A57" s="51"/>
      <c r="B57" s="52"/>
      <c r="C57" s="52"/>
      <c r="D57" s="53" t="str">
        <f aca="false">IF(A57="","",N(B57)+N(C57))</f>
        <v/>
      </c>
      <c r="E57" s="49"/>
      <c r="F57" s="54" t="str">
        <f aca="false">IF(A57="","",DATE(YEAR(A57),MONTH(A57),1))</f>
        <v/>
      </c>
    </row>
    <row r="58" customFormat="false" ht="15" hidden="false" customHeight="false" outlineLevel="0" collapsed="false">
      <c r="A58" s="51"/>
      <c r="B58" s="52"/>
      <c r="C58" s="52"/>
      <c r="D58" s="53" t="str">
        <f aca="false">IF(A58="","",N(B58)+N(C58))</f>
        <v/>
      </c>
      <c r="E58" s="49"/>
      <c r="F58" s="54" t="str">
        <f aca="false">IF(A58="","",DATE(YEAR(A58),MONTH(A58),1))</f>
        <v/>
      </c>
    </row>
    <row r="59" customFormat="false" ht="15" hidden="false" customHeight="false" outlineLevel="0" collapsed="false">
      <c r="A59" s="51"/>
      <c r="B59" s="52"/>
      <c r="C59" s="52"/>
      <c r="D59" s="53" t="str">
        <f aca="false">IF(A59="","",N(B59)+N(C59))</f>
        <v/>
      </c>
      <c r="E59" s="49"/>
      <c r="F59" s="54" t="str">
        <f aca="false">IF(A59="","",DATE(YEAR(A59),MONTH(A59),1))</f>
        <v/>
      </c>
    </row>
    <row r="60" customFormat="false" ht="15" hidden="false" customHeight="false" outlineLevel="0" collapsed="false">
      <c r="A60" s="51"/>
      <c r="B60" s="52"/>
      <c r="C60" s="52"/>
      <c r="D60" s="53" t="str">
        <f aca="false">IF(A60="","",N(B60)+N(C60))</f>
        <v/>
      </c>
      <c r="E60" s="49"/>
      <c r="F60" s="54" t="str">
        <f aca="false">IF(A60="","",DATE(YEAR(A60),MONTH(A60),1))</f>
        <v/>
      </c>
    </row>
    <row r="61" customFormat="false" ht="15" hidden="false" customHeight="false" outlineLevel="0" collapsed="false">
      <c r="A61" s="51"/>
      <c r="B61" s="52"/>
      <c r="C61" s="52"/>
      <c r="D61" s="53" t="str">
        <f aca="false">IF(A61="","",N(B61)+N(C61))</f>
        <v/>
      </c>
      <c r="E61" s="49"/>
      <c r="F61" s="54" t="str">
        <f aca="false">IF(A61="","",DATE(YEAR(A61),MONTH(A61),1))</f>
        <v/>
      </c>
    </row>
    <row r="62" customFormat="false" ht="15" hidden="false" customHeight="false" outlineLevel="0" collapsed="false">
      <c r="A62" s="51"/>
      <c r="B62" s="52"/>
      <c r="C62" s="52"/>
      <c r="D62" s="53" t="str">
        <f aca="false">IF(A62="","",N(B62)+N(C62))</f>
        <v/>
      </c>
      <c r="E62" s="49"/>
      <c r="F62" s="54" t="str">
        <f aca="false">IF(A62="","",DATE(YEAR(A62),MONTH(A62),1))</f>
        <v/>
      </c>
    </row>
    <row r="63" customFormat="false" ht="15" hidden="false" customHeight="false" outlineLevel="0" collapsed="false">
      <c r="A63" s="51"/>
      <c r="B63" s="52"/>
      <c r="C63" s="52"/>
      <c r="D63" s="53" t="str">
        <f aca="false">IF(A63="","",N(B63)+N(C63))</f>
        <v/>
      </c>
      <c r="E63" s="49"/>
      <c r="F63" s="54" t="str">
        <f aca="false">IF(A63="","",DATE(YEAR(A63),MONTH(A63),1))</f>
        <v/>
      </c>
    </row>
    <row r="64" customFormat="false" ht="15" hidden="false" customHeight="false" outlineLevel="0" collapsed="false">
      <c r="A64" s="51"/>
      <c r="B64" s="52"/>
      <c r="C64" s="52"/>
      <c r="D64" s="53" t="str">
        <f aca="false">IF(A64="","",N(B64)+N(C64))</f>
        <v/>
      </c>
      <c r="E64" s="49"/>
      <c r="F64" s="54" t="str">
        <f aca="false">IF(A64="","",DATE(YEAR(A64),MONTH(A64),1))</f>
        <v/>
      </c>
    </row>
    <row r="65" customFormat="false" ht="15" hidden="false" customHeight="false" outlineLevel="0" collapsed="false">
      <c r="A65" s="51"/>
      <c r="B65" s="52"/>
      <c r="C65" s="52"/>
      <c r="D65" s="53" t="str">
        <f aca="false">IF(A65="","",N(B65)+N(C65))</f>
        <v/>
      </c>
      <c r="E65" s="49"/>
      <c r="F65" s="54" t="str">
        <f aca="false">IF(A65="","",DATE(YEAR(A65),MONTH(A65),1))</f>
        <v/>
      </c>
    </row>
    <row r="66" customFormat="false" ht="15" hidden="false" customHeight="false" outlineLevel="0" collapsed="false">
      <c r="A66" s="51"/>
      <c r="B66" s="52"/>
      <c r="C66" s="52"/>
      <c r="D66" s="53" t="str">
        <f aca="false">IF(A66="","",N(B66)+N(C66))</f>
        <v/>
      </c>
      <c r="E66" s="49"/>
      <c r="F66" s="54" t="str">
        <f aca="false">IF(A66="","",DATE(YEAR(A66),MONTH(A66),1))</f>
        <v/>
      </c>
    </row>
    <row r="67" customFormat="false" ht="15" hidden="false" customHeight="false" outlineLevel="0" collapsed="false">
      <c r="A67" s="51"/>
      <c r="B67" s="52"/>
      <c r="C67" s="52"/>
      <c r="D67" s="53" t="str">
        <f aca="false">IF(A67="","",N(B67)+N(C67))</f>
        <v/>
      </c>
      <c r="E67" s="49"/>
      <c r="F67" s="54" t="str">
        <f aca="false">IF(A67="","",DATE(YEAR(A67),MONTH(A67),1))</f>
        <v/>
      </c>
    </row>
    <row r="68" customFormat="false" ht="15" hidden="false" customHeight="false" outlineLevel="0" collapsed="false">
      <c r="A68" s="51"/>
      <c r="B68" s="52"/>
      <c r="C68" s="52"/>
      <c r="D68" s="53" t="str">
        <f aca="false">IF(A68="","",N(B68)+N(C68))</f>
        <v/>
      </c>
      <c r="E68" s="49"/>
      <c r="F68" s="54" t="str">
        <f aca="false">IF(A68="","",DATE(YEAR(A68),MONTH(A68),1))</f>
        <v/>
      </c>
    </row>
    <row r="69" customFormat="false" ht="15" hidden="false" customHeight="false" outlineLevel="0" collapsed="false">
      <c r="A69" s="51"/>
      <c r="B69" s="52"/>
      <c r="C69" s="52"/>
      <c r="D69" s="53" t="str">
        <f aca="false">IF(A69="","",N(B69)+N(C69))</f>
        <v/>
      </c>
      <c r="E69" s="49"/>
      <c r="F69" s="54" t="str">
        <f aca="false">IF(A69="","",DATE(YEAR(A69),MONTH(A69),1))</f>
        <v/>
      </c>
    </row>
    <row r="70" customFormat="false" ht="15" hidden="false" customHeight="false" outlineLevel="0" collapsed="false">
      <c r="A70" s="51"/>
      <c r="B70" s="52"/>
      <c r="C70" s="52"/>
      <c r="D70" s="53" t="str">
        <f aca="false">IF(A70="","",N(B70)+N(C70))</f>
        <v/>
      </c>
      <c r="E70" s="49"/>
      <c r="F70" s="54" t="str">
        <f aca="false">IF(A70="","",DATE(YEAR(A70),MONTH(A70),1))</f>
        <v/>
      </c>
    </row>
    <row r="71" customFormat="false" ht="15" hidden="false" customHeight="false" outlineLevel="0" collapsed="false">
      <c r="A71" s="51"/>
      <c r="B71" s="52"/>
      <c r="C71" s="52"/>
      <c r="D71" s="53" t="str">
        <f aca="false">IF(A71="","",N(B71)+N(C71))</f>
        <v/>
      </c>
      <c r="E71" s="49"/>
      <c r="F71" s="54" t="str">
        <f aca="false">IF(A71="","",DATE(YEAR(A71),MONTH(A71),1))</f>
        <v/>
      </c>
    </row>
    <row r="72" customFormat="false" ht="15" hidden="false" customHeight="false" outlineLevel="0" collapsed="false">
      <c r="A72" s="51"/>
      <c r="B72" s="52"/>
      <c r="C72" s="52"/>
      <c r="D72" s="53" t="str">
        <f aca="false">IF(A72="","",N(B72)+N(C72))</f>
        <v/>
      </c>
      <c r="E72" s="49"/>
      <c r="F72" s="54" t="str">
        <f aca="false">IF(A72="","",DATE(YEAR(A72),MONTH(A72),1))</f>
        <v/>
      </c>
    </row>
    <row r="73" customFormat="false" ht="15" hidden="false" customHeight="false" outlineLevel="0" collapsed="false">
      <c r="A73" s="51"/>
      <c r="B73" s="52"/>
      <c r="C73" s="52"/>
      <c r="D73" s="53" t="str">
        <f aca="false">IF(A73="","",N(B73)+N(C73))</f>
        <v/>
      </c>
      <c r="E73" s="49"/>
      <c r="F73" s="54" t="str">
        <f aca="false">IF(A73="","",DATE(YEAR(A73),MONTH(A73),1))</f>
        <v/>
      </c>
    </row>
    <row r="74" customFormat="false" ht="15" hidden="false" customHeight="false" outlineLevel="0" collapsed="false">
      <c r="A74" s="51"/>
      <c r="B74" s="52"/>
      <c r="C74" s="52"/>
      <c r="D74" s="53" t="str">
        <f aca="false">IF(A74="","",N(B74)+N(C74))</f>
        <v/>
      </c>
      <c r="E74" s="49"/>
      <c r="F74" s="54" t="str">
        <f aca="false">IF(A74="","",DATE(YEAR(A74),MONTH(A74),1))</f>
        <v/>
      </c>
    </row>
    <row r="75" customFormat="false" ht="15" hidden="false" customHeight="false" outlineLevel="0" collapsed="false">
      <c r="A75" s="51"/>
      <c r="B75" s="52"/>
      <c r="C75" s="52"/>
      <c r="D75" s="53" t="str">
        <f aca="false">IF(A75="","",N(B75)+N(C75))</f>
        <v/>
      </c>
      <c r="E75" s="49"/>
      <c r="F75" s="54" t="str">
        <f aca="false">IF(A75="","",DATE(YEAR(A75),MONTH(A75),1))</f>
        <v/>
      </c>
    </row>
    <row r="76" customFormat="false" ht="15" hidden="false" customHeight="false" outlineLevel="0" collapsed="false">
      <c r="A76" s="51"/>
      <c r="B76" s="52"/>
      <c r="C76" s="52"/>
      <c r="D76" s="53" t="str">
        <f aca="false">IF(A76="","",N(B76)+N(C76))</f>
        <v/>
      </c>
      <c r="E76" s="49"/>
      <c r="F76" s="54" t="str">
        <f aca="false">IF(A76="","",DATE(YEAR(A76),MONTH(A76),1))</f>
        <v/>
      </c>
    </row>
    <row r="77" customFormat="false" ht="15" hidden="false" customHeight="false" outlineLevel="0" collapsed="false">
      <c r="A77" s="51"/>
      <c r="B77" s="52"/>
      <c r="C77" s="52"/>
      <c r="D77" s="53" t="str">
        <f aca="false">IF(A77="","",N(B77)+N(C77))</f>
        <v/>
      </c>
      <c r="E77" s="49"/>
      <c r="F77" s="54" t="str">
        <f aca="false">IF(A77="","",DATE(YEAR(A77),MONTH(A77),1))</f>
        <v/>
      </c>
    </row>
    <row r="78" customFormat="false" ht="15" hidden="false" customHeight="false" outlineLevel="0" collapsed="false">
      <c r="A78" s="51"/>
      <c r="B78" s="52"/>
      <c r="C78" s="52"/>
      <c r="D78" s="53" t="str">
        <f aca="false">IF(A78="","",N(B78)+N(C78))</f>
        <v/>
      </c>
      <c r="E78" s="49"/>
      <c r="F78" s="54" t="str">
        <f aca="false">IF(A78="","",DATE(YEAR(A78),MONTH(A78),1))</f>
        <v/>
      </c>
    </row>
    <row r="79" customFormat="false" ht="15" hidden="false" customHeight="false" outlineLevel="0" collapsed="false">
      <c r="A79" s="51"/>
      <c r="B79" s="52"/>
      <c r="C79" s="52"/>
      <c r="D79" s="53" t="str">
        <f aca="false">IF(A79="","",N(B79)+N(C79))</f>
        <v/>
      </c>
      <c r="E79" s="49"/>
      <c r="F79" s="54" t="str">
        <f aca="false">IF(A79="","",DATE(YEAR(A79),MONTH(A79),1))</f>
        <v/>
      </c>
    </row>
    <row r="80" customFormat="false" ht="15" hidden="false" customHeight="false" outlineLevel="0" collapsed="false">
      <c r="A80" s="51"/>
      <c r="B80" s="52"/>
      <c r="C80" s="52"/>
      <c r="D80" s="53" t="str">
        <f aca="false">IF(A80="","",N(B80)+N(C80))</f>
        <v/>
      </c>
      <c r="E80" s="49"/>
      <c r="F80" s="54" t="str">
        <f aca="false">IF(A80="","",DATE(YEAR(A80),MONTH(A80),1))</f>
        <v/>
      </c>
    </row>
    <row r="81" customFormat="false" ht="15" hidden="false" customHeight="false" outlineLevel="0" collapsed="false">
      <c r="A81" s="51"/>
      <c r="B81" s="52"/>
      <c r="C81" s="52"/>
      <c r="D81" s="53" t="str">
        <f aca="false">IF(A81="","",N(B81)+N(C81))</f>
        <v/>
      </c>
      <c r="E81" s="49"/>
      <c r="F81" s="54" t="str">
        <f aca="false">IF(A81="","",DATE(YEAR(A81),MONTH(A81),1))</f>
        <v/>
      </c>
    </row>
    <row r="82" customFormat="false" ht="15" hidden="false" customHeight="false" outlineLevel="0" collapsed="false">
      <c r="A82" s="51"/>
      <c r="B82" s="52"/>
      <c r="C82" s="52"/>
      <c r="D82" s="53" t="str">
        <f aca="false">IF(A82="","",N(B82)+N(C82))</f>
        <v/>
      </c>
      <c r="E82" s="49"/>
      <c r="F82" s="54" t="str">
        <f aca="false">IF(A82="","",DATE(YEAR(A82),MONTH(A82),1))</f>
        <v/>
      </c>
    </row>
    <row r="83" customFormat="false" ht="15" hidden="false" customHeight="false" outlineLevel="0" collapsed="false">
      <c r="A83" s="51"/>
      <c r="B83" s="52"/>
      <c r="C83" s="52"/>
      <c r="D83" s="53" t="str">
        <f aca="false">IF(A83="","",N(B83)+N(C83))</f>
        <v/>
      </c>
      <c r="E83" s="49"/>
      <c r="F83" s="54" t="str">
        <f aca="false">IF(A83="","",DATE(YEAR(A83),MONTH(A83),1))</f>
        <v/>
      </c>
    </row>
    <row r="84" customFormat="false" ht="15" hidden="false" customHeight="false" outlineLevel="0" collapsed="false">
      <c r="A84" s="51"/>
      <c r="B84" s="52"/>
      <c r="C84" s="52"/>
      <c r="D84" s="53" t="str">
        <f aca="false">IF(A84="","",N(B84)+N(C84))</f>
        <v/>
      </c>
      <c r="E84" s="49"/>
      <c r="F84" s="54" t="str">
        <f aca="false">IF(A84="","",DATE(YEAR(A84),MONTH(A84),1))</f>
        <v/>
      </c>
    </row>
    <row r="85" customFormat="false" ht="15" hidden="false" customHeight="false" outlineLevel="0" collapsed="false">
      <c r="A85" s="51"/>
      <c r="B85" s="52"/>
      <c r="C85" s="52"/>
      <c r="D85" s="53" t="str">
        <f aca="false">IF(A85="","",N(B85)+N(C85))</f>
        <v/>
      </c>
      <c r="E85" s="49"/>
      <c r="F85" s="54" t="str">
        <f aca="false">IF(A85="","",DATE(YEAR(A85),MONTH(A85),1))</f>
        <v/>
      </c>
    </row>
    <row r="86" customFormat="false" ht="15" hidden="false" customHeight="false" outlineLevel="0" collapsed="false">
      <c r="A86" s="51"/>
      <c r="B86" s="52"/>
      <c r="C86" s="52"/>
      <c r="D86" s="53" t="str">
        <f aca="false">IF(A86="","",N(B86)+N(C86))</f>
        <v/>
      </c>
      <c r="E86" s="49"/>
      <c r="F86" s="54" t="str">
        <f aca="false">IF(A86="","",DATE(YEAR(A86),MONTH(A86),1))</f>
        <v/>
      </c>
    </row>
    <row r="87" customFormat="false" ht="15" hidden="false" customHeight="false" outlineLevel="0" collapsed="false">
      <c r="A87" s="51"/>
      <c r="B87" s="52"/>
      <c r="C87" s="52"/>
      <c r="D87" s="53" t="str">
        <f aca="false">IF(A87="","",N(B87)+N(C87))</f>
        <v/>
      </c>
      <c r="E87" s="49"/>
      <c r="F87" s="54" t="str">
        <f aca="false">IF(A87="","",DATE(YEAR(A87),MONTH(A87),1))</f>
        <v/>
      </c>
    </row>
    <row r="88" customFormat="false" ht="15" hidden="false" customHeight="false" outlineLevel="0" collapsed="false">
      <c r="A88" s="51"/>
      <c r="B88" s="52"/>
      <c r="C88" s="52"/>
      <c r="D88" s="53" t="str">
        <f aca="false">IF(A88="","",N(B88)+N(C88))</f>
        <v/>
      </c>
      <c r="E88" s="49"/>
      <c r="F88" s="54" t="str">
        <f aca="false">IF(A88="","",DATE(YEAR(A88),MONTH(A88),1))</f>
        <v/>
      </c>
    </row>
    <row r="89" customFormat="false" ht="15" hidden="false" customHeight="false" outlineLevel="0" collapsed="false">
      <c r="A89" s="51"/>
      <c r="B89" s="52"/>
      <c r="C89" s="52"/>
      <c r="D89" s="53" t="str">
        <f aca="false">IF(A89="","",N(B89)+N(C89))</f>
        <v/>
      </c>
      <c r="E89" s="49"/>
      <c r="F89" s="54" t="str">
        <f aca="false">IF(A89="","",DATE(YEAR(A89),MONTH(A89),1))</f>
        <v/>
      </c>
    </row>
    <row r="90" customFormat="false" ht="15" hidden="false" customHeight="false" outlineLevel="0" collapsed="false">
      <c r="A90" s="51"/>
      <c r="B90" s="52"/>
      <c r="C90" s="52"/>
      <c r="D90" s="53" t="str">
        <f aca="false">IF(A90="","",N(B90)+N(C90))</f>
        <v/>
      </c>
      <c r="E90" s="49"/>
      <c r="F90" s="54" t="str">
        <f aca="false">IF(A90="","",DATE(YEAR(A90),MONTH(A90),1))</f>
        <v/>
      </c>
    </row>
    <row r="91" customFormat="false" ht="15" hidden="false" customHeight="false" outlineLevel="0" collapsed="false">
      <c r="A91" s="51"/>
      <c r="B91" s="52"/>
      <c r="C91" s="52"/>
      <c r="D91" s="53" t="str">
        <f aca="false">IF(A91="","",N(B91)+N(C91))</f>
        <v/>
      </c>
      <c r="E91" s="49"/>
      <c r="F91" s="54" t="str">
        <f aca="false">IF(A91="","",DATE(YEAR(A91),MONTH(A91),1))</f>
        <v/>
      </c>
    </row>
    <row r="92" customFormat="false" ht="15" hidden="false" customHeight="false" outlineLevel="0" collapsed="false">
      <c r="A92" s="51"/>
      <c r="B92" s="52"/>
      <c r="C92" s="52"/>
      <c r="D92" s="53" t="str">
        <f aca="false">IF(A92="","",N(B92)+N(C92))</f>
        <v/>
      </c>
      <c r="E92" s="49"/>
      <c r="F92" s="54" t="str">
        <f aca="false">IF(A92="","",DATE(YEAR(A92),MONTH(A92),1))</f>
        <v/>
      </c>
    </row>
    <row r="93" customFormat="false" ht="15" hidden="false" customHeight="false" outlineLevel="0" collapsed="false">
      <c r="A93" s="51"/>
      <c r="B93" s="52"/>
      <c r="C93" s="52"/>
      <c r="D93" s="53" t="str">
        <f aca="false">IF(A93="","",N(B93)+N(C93))</f>
        <v/>
      </c>
      <c r="E93" s="49"/>
      <c r="F93" s="54" t="str">
        <f aca="false">IF(A93="","",DATE(YEAR(A93),MONTH(A93),1))</f>
        <v/>
      </c>
    </row>
    <row r="94" customFormat="false" ht="15" hidden="false" customHeight="false" outlineLevel="0" collapsed="false">
      <c r="A94" s="51"/>
      <c r="B94" s="52"/>
      <c r="C94" s="52"/>
      <c r="D94" s="53" t="str">
        <f aca="false">IF(A94="","",N(B94)+N(C94))</f>
        <v/>
      </c>
      <c r="E94" s="49"/>
      <c r="F94" s="54" t="str">
        <f aca="false">IF(A94="","",DATE(YEAR(A94),MONTH(A94),1))</f>
        <v/>
      </c>
    </row>
    <row r="95" customFormat="false" ht="15" hidden="false" customHeight="false" outlineLevel="0" collapsed="false">
      <c r="A95" s="51"/>
      <c r="B95" s="52"/>
      <c r="C95" s="52"/>
      <c r="D95" s="53" t="str">
        <f aca="false">IF(A95="","",N(B95)+N(C95))</f>
        <v/>
      </c>
      <c r="E95" s="49"/>
      <c r="F95" s="54" t="str">
        <f aca="false">IF(A95="","",DATE(YEAR(A95),MONTH(A95),1))</f>
        <v/>
      </c>
    </row>
    <row r="96" customFormat="false" ht="15" hidden="false" customHeight="false" outlineLevel="0" collapsed="false">
      <c r="A96" s="51"/>
      <c r="B96" s="52"/>
      <c r="C96" s="52"/>
      <c r="D96" s="53" t="str">
        <f aca="false">IF(A96="","",N(B96)+N(C96))</f>
        <v/>
      </c>
      <c r="E96" s="49"/>
      <c r="F96" s="54" t="str">
        <f aca="false">IF(A96="","",DATE(YEAR(A96),MONTH(A96),1))</f>
        <v/>
      </c>
    </row>
    <row r="97" customFormat="false" ht="15" hidden="false" customHeight="false" outlineLevel="0" collapsed="false">
      <c r="A97" s="51"/>
      <c r="B97" s="52"/>
      <c r="C97" s="52"/>
      <c r="D97" s="53" t="str">
        <f aca="false">IF(A97="","",N(B97)+N(C97))</f>
        <v/>
      </c>
      <c r="E97" s="49"/>
      <c r="F97" s="54" t="str">
        <f aca="false">IF(A97="","",DATE(YEAR(A97),MONTH(A97),1))</f>
        <v/>
      </c>
    </row>
    <row r="98" customFormat="false" ht="15" hidden="false" customHeight="false" outlineLevel="0" collapsed="false">
      <c r="A98" s="51"/>
      <c r="B98" s="52"/>
      <c r="C98" s="52"/>
      <c r="D98" s="53" t="str">
        <f aca="false">IF(A98="","",N(B98)+N(C98))</f>
        <v/>
      </c>
      <c r="E98" s="49"/>
      <c r="F98" s="54" t="str">
        <f aca="false">IF(A98="","",DATE(YEAR(A98),MONTH(A98),1))</f>
        <v/>
      </c>
    </row>
    <row r="99" customFormat="false" ht="15" hidden="false" customHeight="false" outlineLevel="0" collapsed="false">
      <c r="A99" s="51"/>
      <c r="B99" s="52"/>
      <c r="C99" s="52"/>
      <c r="D99" s="53" t="str">
        <f aca="false">IF(A99="","",N(B99)+N(C99))</f>
        <v/>
      </c>
      <c r="E99" s="49"/>
      <c r="F99" s="54" t="str">
        <f aca="false">IF(A99="","",DATE(YEAR(A99),MONTH(A99),1))</f>
        <v/>
      </c>
    </row>
    <row r="100" customFormat="false" ht="15" hidden="false" customHeight="false" outlineLevel="0" collapsed="false">
      <c r="A100" s="51"/>
      <c r="B100" s="52"/>
      <c r="C100" s="52"/>
      <c r="D100" s="53" t="str">
        <f aca="false">IF(A100="","",N(B100)+N(C100))</f>
        <v/>
      </c>
      <c r="E100" s="49"/>
      <c r="F100" s="54" t="str">
        <f aca="false">IF(A100="","",DATE(YEAR(A100),MONTH(A100),1))</f>
        <v/>
      </c>
    </row>
    <row r="101" customFormat="false" ht="15" hidden="false" customHeight="false" outlineLevel="0" collapsed="false">
      <c r="A101" s="51"/>
      <c r="B101" s="52"/>
      <c r="C101" s="52"/>
      <c r="D101" s="53" t="str">
        <f aca="false">IF(A101="","",N(B101)+N(C101))</f>
        <v/>
      </c>
      <c r="E101" s="49"/>
      <c r="F101" s="54" t="str">
        <f aca="false">IF(A101="","",DATE(YEAR(A101),MONTH(A101),1))</f>
        <v/>
      </c>
    </row>
    <row r="102" customFormat="false" ht="15" hidden="false" customHeight="false" outlineLevel="0" collapsed="false">
      <c r="A102" s="51"/>
      <c r="B102" s="52"/>
      <c r="C102" s="52"/>
      <c r="D102" s="53" t="str">
        <f aca="false">IF(A102="","",N(B102)+N(C102))</f>
        <v/>
      </c>
      <c r="E102" s="49"/>
      <c r="F102" s="54" t="str">
        <f aca="false">IF(A102="","",DATE(YEAR(A102),MONTH(A102),1))</f>
        <v/>
      </c>
    </row>
    <row r="103" customFormat="false" ht="15" hidden="false" customHeight="false" outlineLevel="0" collapsed="false">
      <c r="A103" s="51"/>
      <c r="B103" s="52"/>
      <c r="C103" s="52"/>
      <c r="D103" s="53" t="str">
        <f aca="false">IF(A103="","",N(B103)+N(C103))</f>
        <v/>
      </c>
      <c r="E103" s="49"/>
      <c r="F103" s="54" t="str">
        <f aca="false">IF(A103="","",DATE(YEAR(A103),MONTH(A103),1))</f>
        <v/>
      </c>
    </row>
    <row r="104" customFormat="false" ht="15" hidden="false" customHeight="false" outlineLevel="0" collapsed="false">
      <c r="A104" s="51"/>
      <c r="B104" s="52"/>
      <c r="C104" s="52"/>
      <c r="D104" s="53" t="str">
        <f aca="false">IF(A104="","",N(B104)+N(C104))</f>
        <v/>
      </c>
      <c r="E104" s="49"/>
      <c r="F104" s="54" t="str">
        <f aca="false">IF(A104="","",DATE(YEAR(A104),MONTH(A104),1))</f>
        <v/>
      </c>
    </row>
    <row r="105" customFormat="false" ht="15" hidden="false" customHeight="false" outlineLevel="0" collapsed="false">
      <c r="A105" s="51"/>
      <c r="B105" s="52"/>
      <c r="C105" s="52"/>
      <c r="D105" s="53" t="str">
        <f aca="false">IF(A105="","",N(B105)+N(C105))</f>
        <v/>
      </c>
      <c r="E105" s="49"/>
      <c r="F105" s="54" t="str">
        <f aca="false">IF(A105="","",DATE(YEAR(A105),MONTH(A105),1))</f>
        <v/>
      </c>
    </row>
    <row r="106" customFormat="false" ht="15" hidden="false" customHeight="false" outlineLevel="0" collapsed="false">
      <c r="A106" s="51"/>
      <c r="B106" s="52"/>
      <c r="C106" s="52"/>
      <c r="D106" s="53" t="str">
        <f aca="false">IF(A106="","",N(B106)+N(C106))</f>
        <v/>
      </c>
      <c r="E106" s="49"/>
      <c r="F106" s="54" t="str">
        <f aca="false">IF(A106="","",DATE(YEAR(A106),MONTH(A106),1))</f>
        <v/>
      </c>
    </row>
    <row r="107" customFormat="false" ht="15" hidden="false" customHeight="false" outlineLevel="0" collapsed="false">
      <c r="A107" s="51"/>
      <c r="B107" s="52"/>
      <c r="C107" s="52"/>
      <c r="D107" s="53" t="str">
        <f aca="false">IF(A107="","",N(B107)+N(C107))</f>
        <v/>
      </c>
      <c r="E107" s="49"/>
      <c r="F107" s="54" t="str">
        <f aca="false">IF(A107="","",DATE(YEAR(A107),MONTH(A107),1))</f>
        <v/>
      </c>
    </row>
    <row r="108" customFormat="false" ht="15" hidden="false" customHeight="false" outlineLevel="0" collapsed="false">
      <c r="A108" s="51"/>
      <c r="B108" s="52"/>
      <c r="C108" s="52"/>
      <c r="D108" s="53" t="str">
        <f aca="false">IF(A108="","",N(B108)+N(C108))</f>
        <v/>
      </c>
      <c r="E108" s="49"/>
      <c r="F108" s="54" t="str">
        <f aca="false">IF(A108="","",DATE(YEAR(A108),MONTH(A108),1))</f>
        <v/>
      </c>
    </row>
    <row r="109" customFormat="false" ht="15" hidden="false" customHeight="false" outlineLevel="0" collapsed="false">
      <c r="A109" s="51"/>
      <c r="B109" s="52"/>
      <c r="C109" s="52"/>
      <c r="D109" s="53" t="str">
        <f aca="false">IF(A109="","",N(B109)+N(C109))</f>
        <v/>
      </c>
      <c r="E109" s="49"/>
      <c r="F109" s="54" t="str">
        <f aca="false">IF(A109="","",DATE(YEAR(A109),MONTH(A109),1))</f>
        <v/>
      </c>
    </row>
    <row r="110" customFormat="false" ht="15" hidden="false" customHeight="false" outlineLevel="0" collapsed="false">
      <c r="A110" s="51"/>
      <c r="B110" s="52"/>
      <c r="C110" s="52"/>
      <c r="D110" s="53" t="str">
        <f aca="false">IF(A110="","",N(B110)+N(C110))</f>
        <v/>
      </c>
      <c r="E110" s="49"/>
      <c r="F110" s="54" t="str">
        <f aca="false">IF(A110="","",DATE(YEAR(A110),MONTH(A110),1))</f>
        <v/>
      </c>
    </row>
    <row r="111" customFormat="false" ht="15" hidden="false" customHeight="false" outlineLevel="0" collapsed="false">
      <c r="A111" s="51"/>
      <c r="B111" s="52"/>
      <c r="C111" s="52"/>
      <c r="D111" s="53" t="str">
        <f aca="false">IF(A111="","",N(B111)+N(C111))</f>
        <v/>
      </c>
      <c r="E111" s="49"/>
      <c r="F111" s="54" t="str">
        <f aca="false">IF(A111="","",DATE(YEAR(A111),MONTH(A111),1))</f>
        <v/>
      </c>
    </row>
    <row r="112" customFormat="false" ht="15" hidden="false" customHeight="false" outlineLevel="0" collapsed="false">
      <c r="A112" s="51"/>
      <c r="B112" s="52"/>
      <c r="C112" s="52"/>
      <c r="D112" s="53" t="str">
        <f aca="false">IF(A112="","",N(B112)+N(C112))</f>
        <v/>
      </c>
      <c r="E112" s="49"/>
      <c r="F112" s="54" t="str">
        <f aca="false">IF(A112="","",DATE(YEAR(A112),MONTH(A112),1))</f>
        <v/>
      </c>
    </row>
    <row r="113" customFormat="false" ht="15" hidden="false" customHeight="false" outlineLevel="0" collapsed="false">
      <c r="A113" s="51"/>
      <c r="B113" s="52"/>
      <c r="C113" s="52"/>
      <c r="D113" s="53" t="str">
        <f aca="false">IF(A113="","",N(B113)+N(C113))</f>
        <v/>
      </c>
      <c r="E113" s="49"/>
      <c r="F113" s="54" t="str">
        <f aca="false">IF(A113="","",DATE(YEAR(A113),MONTH(A113),1))</f>
        <v/>
      </c>
    </row>
    <row r="114" customFormat="false" ht="15" hidden="false" customHeight="false" outlineLevel="0" collapsed="false">
      <c r="A114" s="51"/>
      <c r="B114" s="52"/>
      <c r="C114" s="52"/>
      <c r="D114" s="53" t="str">
        <f aca="false">IF(A114="","",N(B114)+N(C114))</f>
        <v/>
      </c>
      <c r="E114" s="49"/>
      <c r="F114" s="54" t="str">
        <f aca="false">IF(A114="","",DATE(YEAR(A114),MONTH(A114),1))</f>
        <v/>
      </c>
    </row>
    <row r="115" customFormat="false" ht="15" hidden="false" customHeight="false" outlineLevel="0" collapsed="false">
      <c r="A115" s="51"/>
      <c r="B115" s="52"/>
      <c r="C115" s="52"/>
      <c r="D115" s="53" t="str">
        <f aca="false">IF(A115="","",N(B115)+N(C115))</f>
        <v/>
      </c>
      <c r="E115" s="49"/>
      <c r="F115" s="54" t="str">
        <f aca="false">IF(A115="","",DATE(YEAR(A115),MONTH(A115),1))</f>
        <v/>
      </c>
    </row>
    <row r="116" customFormat="false" ht="15" hidden="false" customHeight="false" outlineLevel="0" collapsed="false">
      <c r="A116" s="51"/>
      <c r="B116" s="52"/>
      <c r="C116" s="52"/>
      <c r="D116" s="53" t="str">
        <f aca="false">IF(A116="","",N(B116)+N(C116))</f>
        <v/>
      </c>
      <c r="E116" s="49"/>
      <c r="F116" s="54" t="str">
        <f aca="false">IF(A116="","",DATE(YEAR(A116),MONTH(A116),1))</f>
        <v/>
      </c>
    </row>
    <row r="117" customFormat="false" ht="15" hidden="false" customHeight="false" outlineLevel="0" collapsed="false">
      <c r="A117" s="51"/>
      <c r="B117" s="52"/>
      <c r="C117" s="52"/>
      <c r="D117" s="53" t="str">
        <f aca="false">IF(A117="","",N(B117)+N(C117))</f>
        <v/>
      </c>
      <c r="E117" s="49"/>
      <c r="F117" s="54" t="str">
        <f aca="false">IF(A117="","",DATE(YEAR(A117),MONTH(A117),1))</f>
        <v/>
      </c>
    </row>
    <row r="118" customFormat="false" ht="15" hidden="false" customHeight="false" outlineLevel="0" collapsed="false">
      <c r="A118" s="51"/>
      <c r="B118" s="52"/>
      <c r="C118" s="52"/>
      <c r="D118" s="53" t="str">
        <f aca="false">IF(A118="","",N(B118)+N(C118))</f>
        <v/>
      </c>
      <c r="E118" s="49"/>
      <c r="F118" s="54" t="str">
        <f aca="false">IF(A118="","",DATE(YEAR(A118),MONTH(A118),1))</f>
        <v/>
      </c>
    </row>
    <row r="119" customFormat="false" ht="15" hidden="false" customHeight="false" outlineLevel="0" collapsed="false">
      <c r="A119" s="51"/>
      <c r="B119" s="52"/>
      <c r="C119" s="52"/>
      <c r="D119" s="53" t="str">
        <f aca="false">IF(A119="","",N(B119)+N(C119))</f>
        <v/>
      </c>
      <c r="E119" s="49"/>
      <c r="F119" s="54" t="str">
        <f aca="false">IF(A119="","",DATE(YEAR(A119),MONTH(A119),1))</f>
        <v/>
      </c>
    </row>
    <row r="120" customFormat="false" ht="15" hidden="false" customHeight="false" outlineLevel="0" collapsed="false">
      <c r="A120" s="51"/>
      <c r="B120" s="52"/>
      <c r="C120" s="52"/>
      <c r="D120" s="53" t="str">
        <f aca="false">IF(A120="","",N(B120)+N(C120))</f>
        <v/>
      </c>
      <c r="E120" s="49"/>
      <c r="F120" s="54" t="str">
        <f aca="false">IF(A120="","",DATE(YEAR(A120),MONTH(A120),1))</f>
        <v/>
      </c>
    </row>
    <row r="121" customFormat="false" ht="15" hidden="false" customHeight="false" outlineLevel="0" collapsed="false">
      <c r="A121" s="51"/>
      <c r="B121" s="52"/>
      <c r="C121" s="52"/>
      <c r="D121" s="53" t="str">
        <f aca="false">IF(A121="","",N(B121)+N(C121))</f>
        <v/>
      </c>
      <c r="E121" s="49"/>
      <c r="F121" s="54" t="str">
        <f aca="false">IF(A121="","",DATE(YEAR(A121),MONTH(A121),1))</f>
        <v/>
      </c>
    </row>
    <row r="122" customFormat="false" ht="15" hidden="false" customHeight="false" outlineLevel="0" collapsed="false">
      <c r="A122" s="51"/>
      <c r="B122" s="52"/>
      <c r="C122" s="52"/>
      <c r="D122" s="53" t="str">
        <f aca="false">IF(A122="","",N(B122)+N(C122))</f>
        <v/>
      </c>
      <c r="E122" s="49"/>
      <c r="F122" s="54" t="str">
        <f aca="false">IF(A122="","",DATE(YEAR(A122),MONTH(A122),1))</f>
        <v/>
      </c>
    </row>
    <row r="123" customFormat="false" ht="15" hidden="false" customHeight="false" outlineLevel="0" collapsed="false">
      <c r="A123" s="51"/>
      <c r="B123" s="52"/>
      <c r="C123" s="52"/>
      <c r="D123" s="53" t="str">
        <f aca="false">IF(A123="","",N(B123)+N(C123))</f>
        <v/>
      </c>
      <c r="E123" s="49"/>
      <c r="F123" s="54" t="str">
        <f aca="false">IF(A123="","",DATE(YEAR(A123),MONTH(A123),1))</f>
        <v/>
      </c>
    </row>
    <row r="124" customFormat="false" ht="15" hidden="false" customHeight="false" outlineLevel="0" collapsed="false">
      <c r="A124" s="51"/>
      <c r="B124" s="52"/>
      <c r="C124" s="52"/>
      <c r="D124" s="53" t="str">
        <f aca="false">IF(A124="","",N(B124)+N(C124))</f>
        <v/>
      </c>
      <c r="E124" s="49"/>
      <c r="F124" s="54" t="str">
        <f aca="false">IF(A124="","",DATE(YEAR(A124),MONTH(A124),1))</f>
        <v/>
      </c>
    </row>
    <row r="125" customFormat="false" ht="15" hidden="false" customHeight="false" outlineLevel="0" collapsed="false">
      <c r="A125" s="51"/>
      <c r="B125" s="52"/>
      <c r="C125" s="52"/>
      <c r="D125" s="53" t="str">
        <f aca="false">IF(A125="","",N(B125)+N(C125))</f>
        <v/>
      </c>
      <c r="E125" s="49"/>
      <c r="F125" s="54" t="str">
        <f aca="false">IF(A125="","",DATE(YEAR(A125),MONTH(A125),1))</f>
        <v/>
      </c>
    </row>
    <row r="126" customFormat="false" ht="15" hidden="false" customHeight="false" outlineLevel="0" collapsed="false">
      <c r="A126" s="51"/>
      <c r="B126" s="52"/>
      <c r="C126" s="52"/>
      <c r="D126" s="53" t="str">
        <f aca="false">IF(A126="","",N(B126)+N(C126))</f>
        <v/>
      </c>
      <c r="E126" s="49"/>
      <c r="F126" s="54" t="str">
        <f aca="false">IF(A126="","",DATE(YEAR(A126),MONTH(A126),1))</f>
        <v/>
      </c>
    </row>
    <row r="127" customFormat="false" ht="15" hidden="false" customHeight="false" outlineLevel="0" collapsed="false">
      <c r="A127" s="51"/>
      <c r="B127" s="52"/>
      <c r="C127" s="52"/>
      <c r="D127" s="53" t="str">
        <f aca="false">IF(A127="","",N(B127)+N(C127))</f>
        <v/>
      </c>
      <c r="E127" s="49"/>
      <c r="F127" s="54" t="str">
        <f aca="false">IF(A127="","",DATE(YEAR(A127),MONTH(A127),1))</f>
        <v/>
      </c>
    </row>
    <row r="128" customFormat="false" ht="15" hidden="false" customHeight="false" outlineLevel="0" collapsed="false">
      <c r="A128" s="51"/>
      <c r="B128" s="52"/>
      <c r="C128" s="52"/>
      <c r="D128" s="53" t="str">
        <f aca="false">IF(A128="","",N(B128)+N(C128))</f>
        <v/>
      </c>
      <c r="E128" s="49"/>
      <c r="F128" s="54" t="str">
        <f aca="false">IF(A128="","",DATE(YEAR(A128),MONTH(A128),1))</f>
        <v/>
      </c>
    </row>
    <row r="129" customFormat="false" ht="15" hidden="false" customHeight="false" outlineLevel="0" collapsed="false">
      <c r="A129" s="51"/>
      <c r="B129" s="52"/>
      <c r="C129" s="52"/>
      <c r="D129" s="53" t="str">
        <f aca="false">IF(A129="","",N(B129)+N(C129))</f>
        <v/>
      </c>
      <c r="E129" s="49"/>
      <c r="F129" s="54" t="str">
        <f aca="false">IF(A129="","",DATE(YEAR(A129),MONTH(A129),1))</f>
        <v/>
      </c>
    </row>
    <row r="130" customFormat="false" ht="15" hidden="false" customHeight="false" outlineLevel="0" collapsed="false">
      <c r="A130" s="51"/>
      <c r="B130" s="52"/>
      <c r="C130" s="52"/>
      <c r="D130" s="53" t="str">
        <f aca="false">IF(A130="","",N(B130)+N(C130))</f>
        <v/>
      </c>
      <c r="E130" s="49"/>
      <c r="F130" s="54" t="str">
        <f aca="false">IF(A130="","",DATE(YEAR(A130),MONTH(A130),1))</f>
        <v/>
      </c>
    </row>
    <row r="131" customFormat="false" ht="15" hidden="false" customHeight="false" outlineLevel="0" collapsed="false">
      <c r="A131" s="51"/>
      <c r="B131" s="52"/>
      <c r="C131" s="52"/>
      <c r="D131" s="53" t="str">
        <f aca="false">IF(A131="","",N(B131)+N(C131))</f>
        <v/>
      </c>
      <c r="E131" s="49"/>
      <c r="F131" s="54" t="str">
        <f aca="false">IF(A131="","",DATE(YEAR(A131),MONTH(A131),1))</f>
        <v/>
      </c>
    </row>
    <row r="132" customFormat="false" ht="15" hidden="false" customHeight="false" outlineLevel="0" collapsed="false">
      <c r="A132" s="51"/>
      <c r="B132" s="52"/>
      <c r="C132" s="52"/>
      <c r="D132" s="53" t="str">
        <f aca="false">IF(A132="","",N(B132)+N(C132))</f>
        <v/>
      </c>
      <c r="E132" s="49"/>
      <c r="F132" s="54" t="str">
        <f aca="false">IF(A132="","",DATE(YEAR(A132),MONTH(A132),1))</f>
        <v/>
      </c>
    </row>
    <row r="133" customFormat="false" ht="15" hidden="false" customHeight="false" outlineLevel="0" collapsed="false">
      <c r="A133" s="51"/>
      <c r="B133" s="52"/>
      <c r="C133" s="52"/>
      <c r="D133" s="53" t="str">
        <f aca="false">IF(A133="","",N(B133)+N(C133))</f>
        <v/>
      </c>
      <c r="E133" s="49"/>
      <c r="F133" s="54" t="str">
        <f aca="false">IF(A133="","",DATE(YEAR(A133),MONTH(A133),1))</f>
        <v/>
      </c>
    </row>
    <row r="134" customFormat="false" ht="15" hidden="false" customHeight="false" outlineLevel="0" collapsed="false">
      <c r="A134" s="51"/>
      <c r="B134" s="52"/>
      <c r="C134" s="52"/>
      <c r="D134" s="53" t="str">
        <f aca="false">IF(A134="","",N(B134)+N(C134))</f>
        <v/>
      </c>
      <c r="E134" s="49"/>
      <c r="F134" s="54" t="str">
        <f aca="false">IF(A134="","",DATE(YEAR(A134),MONTH(A134),1))</f>
        <v/>
      </c>
    </row>
    <row r="135" customFormat="false" ht="15" hidden="false" customHeight="false" outlineLevel="0" collapsed="false">
      <c r="A135" s="51"/>
      <c r="B135" s="52"/>
      <c r="C135" s="52"/>
      <c r="D135" s="53" t="str">
        <f aca="false">IF(A135="","",N(B135)+N(C135))</f>
        <v/>
      </c>
      <c r="E135" s="49"/>
      <c r="F135" s="54" t="str">
        <f aca="false">IF(A135="","",DATE(YEAR(A135),MONTH(A135),1))</f>
        <v/>
      </c>
    </row>
    <row r="136" customFormat="false" ht="15" hidden="false" customHeight="false" outlineLevel="0" collapsed="false">
      <c r="A136" s="51"/>
      <c r="B136" s="52"/>
      <c r="C136" s="52"/>
      <c r="D136" s="53" t="str">
        <f aca="false">IF(A136="","",N(B136)+N(C136))</f>
        <v/>
      </c>
      <c r="E136" s="49"/>
      <c r="F136" s="54" t="str">
        <f aca="false">IF(A136="","",DATE(YEAR(A136),MONTH(A136),1))</f>
        <v/>
      </c>
    </row>
    <row r="137" customFormat="false" ht="15" hidden="false" customHeight="false" outlineLevel="0" collapsed="false">
      <c r="A137" s="51"/>
      <c r="B137" s="52"/>
      <c r="C137" s="52"/>
      <c r="D137" s="53" t="str">
        <f aca="false">IF(A137="","",N(B137)+N(C137))</f>
        <v/>
      </c>
      <c r="E137" s="49"/>
      <c r="F137" s="54" t="str">
        <f aca="false">IF(A137="","",DATE(YEAR(A137),MONTH(A137),1))</f>
        <v/>
      </c>
    </row>
    <row r="138" customFormat="false" ht="15" hidden="false" customHeight="false" outlineLevel="0" collapsed="false">
      <c r="A138" s="51"/>
      <c r="B138" s="52"/>
      <c r="C138" s="52"/>
      <c r="D138" s="53" t="str">
        <f aca="false">IF(A138="","",N(B138)+N(C138))</f>
        <v/>
      </c>
      <c r="E138" s="49"/>
      <c r="F138" s="54" t="str">
        <f aca="false">IF(A138="","",DATE(YEAR(A138),MONTH(A138),1))</f>
        <v/>
      </c>
    </row>
    <row r="139" customFormat="false" ht="15" hidden="false" customHeight="false" outlineLevel="0" collapsed="false">
      <c r="A139" s="51"/>
      <c r="B139" s="52"/>
      <c r="C139" s="52"/>
      <c r="D139" s="53" t="str">
        <f aca="false">IF(A139="","",N(B139)+N(C139))</f>
        <v/>
      </c>
      <c r="E139" s="49"/>
      <c r="F139" s="54" t="str">
        <f aca="false">IF(A139="","",DATE(YEAR(A139),MONTH(A139),1))</f>
        <v/>
      </c>
    </row>
    <row r="140" customFormat="false" ht="15" hidden="false" customHeight="false" outlineLevel="0" collapsed="false">
      <c r="A140" s="51"/>
      <c r="B140" s="52"/>
      <c r="C140" s="52"/>
      <c r="D140" s="53" t="str">
        <f aca="false">IF(A140="","",N(B140)+N(C140))</f>
        <v/>
      </c>
      <c r="E140" s="49"/>
      <c r="F140" s="54" t="str">
        <f aca="false">IF(A140="","",DATE(YEAR(A140),MONTH(A140),1))</f>
        <v/>
      </c>
    </row>
    <row r="141" customFormat="false" ht="15" hidden="false" customHeight="false" outlineLevel="0" collapsed="false">
      <c r="A141" s="51"/>
      <c r="B141" s="52"/>
      <c r="C141" s="52"/>
      <c r="D141" s="53" t="str">
        <f aca="false">IF(A141="","",N(B141)+N(C141))</f>
        <v/>
      </c>
      <c r="E141" s="49"/>
      <c r="F141" s="54" t="str">
        <f aca="false">IF(A141="","",DATE(YEAR(A141),MONTH(A141),1))</f>
        <v/>
      </c>
    </row>
    <row r="142" customFormat="false" ht="15" hidden="false" customHeight="false" outlineLevel="0" collapsed="false">
      <c r="A142" s="51"/>
      <c r="B142" s="52"/>
      <c r="C142" s="52"/>
      <c r="D142" s="53" t="str">
        <f aca="false">IF(A142="","",N(B142)+N(C142))</f>
        <v/>
      </c>
      <c r="E142" s="49"/>
      <c r="F142" s="54" t="str">
        <f aca="false">IF(A142="","",DATE(YEAR(A142),MONTH(A142),1))</f>
        <v/>
      </c>
    </row>
    <row r="143" customFormat="false" ht="15" hidden="false" customHeight="false" outlineLevel="0" collapsed="false">
      <c r="A143" s="51"/>
      <c r="B143" s="52"/>
      <c r="C143" s="52"/>
      <c r="D143" s="53" t="str">
        <f aca="false">IF(A143="","",N(B143)+N(C143))</f>
        <v/>
      </c>
      <c r="E143" s="49"/>
      <c r="F143" s="54" t="str">
        <f aca="false">IF(A143="","",DATE(YEAR(A143),MONTH(A143),1))</f>
        <v/>
      </c>
    </row>
    <row r="144" customFormat="false" ht="15" hidden="false" customHeight="false" outlineLevel="0" collapsed="false">
      <c r="A144" s="51"/>
      <c r="B144" s="52"/>
      <c r="C144" s="52"/>
      <c r="D144" s="53" t="str">
        <f aca="false">IF(A144="","",N(B144)+N(C144))</f>
        <v/>
      </c>
      <c r="E144" s="49"/>
      <c r="F144" s="54" t="str">
        <f aca="false">IF(A144="","",DATE(YEAR(A144),MONTH(A144),1))</f>
        <v/>
      </c>
    </row>
    <row r="145" customFormat="false" ht="15" hidden="false" customHeight="false" outlineLevel="0" collapsed="false">
      <c r="A145" s="51"/>
      <c r="B145" s="52"/>
      <c r="C145" s="52"/>
      <c r="D145" s="53" t="str">
        <f aca="false">IF(A145="","",N(B145)+N(C145))</f>
        <v/>
      </c>
      <c r="E145" s="49"/>
      <c r="F145" s="54" t="str">
        <f aca="false">IF(A145="","",DATE(YEAR(A145),MONTH(A145),1))</f>
        <v/>
      </c>
    </row>
    <row r="146" customFormat="false" ht="15" hidden="false" customHeight="false" outlineLevel="0" collapsed="false">
      <c r="A146" s="51"/>
      <c r="B146" s="52"/>
      <c r="C146" s="52"/>
      <c r="D146" s="53" t="str">
        <f aca="false">IF(A146="","",N(B146)+N(C146))</f>
        <v/>
      </c>
      <c r="E146" s="49"/>
      <c r="F146" s="54" t="str">
        <f aca="false">IF(A146="","",DATE(YEAR(A146),MONTH(A146),1))</f>
        <v/>
      </c>
    </row>
    <row r="147" customFormat="false" ht="15" hidden="false" customHeight="false" outlineLevel="0" collapsed="false">
      <c r="A147" s="51"/>
      <c r="B147" s="52"/>
      <c r="C147" s="52"/>
      <c r="D147" s="53" t="str">
        <f aca="false">IF(A147="","",N(B147)+N(C147))</f>
        <v/>
      </c>
      <c r="E147" s="49"/>
      <c r="F147" s="54" t="str">
        <f aca="false">IF(A147="","",DATE(YEAR(A147),MONTH(A147),1))</f>
        <v/>
      </c>
    </row>
    <row r="148" customFormat="false" ht="15" hidden="false" customHeight="false" outlineLevel="0" collapsed="false">
      <c r="A148" s="51"/>
      <c r="B148" s="52"/>
      <c r="C148" s="52"/>
      <c r="D148" s="53" t="str">
        <f aca="false">IF(A148="","",N(B148)+N(C148))</f>
        <v/>
      </c>
      <c r="E148" s="49"/>
      <c r="F148" s="54" t="str">
        <f aca="false">IF(A148="","",DATE(YEAR(A148),MONTH(A148),1))</f>
        <v/>
      </c>
    </row>
    <row r="149" customFormat="false" ht="15" hidden="false" customHeight="false" outlineLevel="0" collapsed="false">
      <c r="A149" s="51"/>
      <c r="B149" s="52"/>
      <c r="C149" s="52"/>
      <c r="D149" s="53" t="str">
        <f aca="false">IF(A149="","",N(B149)+N(C149))</f>
        <v/>
      </c>
      <c r="E149" s="49"/>
      <c r="F149" s="54" t="str">
        <f aca="false">IF(A149="","",DATE(YEAR(A149),MONTH(A149),1))</f>
        <v/>
      </c>
    </row>
    <row r="150" customFormat="false" ht="15" hidden="false" customHeight="false" outlineLevel="0" collapsed="false">
      <c r="A150" s="51"/>
      <c r="B150" s="52"/>
      <c r="C150" s="52"/>
      <c r="D150" s="53" t="str">
        <f aca="false">IF(A150="","",N(B150)+N(C150))</f>
        <v/>
      </c>
      <c r="E150" s="49"/>
      <c r="F150" s="54" t="str">
        <f aca="false">IF(A150="","",DATE(YEAR(A150),MONTH(A150),1))</f>
        <v/>
      </c>
    </row>
    <row r="151" customFormat="false" ht="15" hidden="false" customHeight="false" outlineLevel="0" collapsed="false">
      <c r="A151" s="51"/>
      <c r="B151" s="52"/>
      <c r="C151" s="52"/>
      <c r="D151" s="53" t="str">
        <f aca="false">IF(A151="","",N(B151)+N(C151))</f>
        <v/>
      </c>
      <c r="E151" s="49"/>
      <c r="F151" s="54" t="str">
        <f aca="false">IF(A151="","",DATE(YEAR(A151),MONTH(A151),1))</f>
        <v/>
      </c>
    </row>
    <row r="152" customFormat="false" ht="15" hidden="false" customHeight="false" outlineLevel="0" collapsed="false">
      <c r="A152" s="51"/>
      <c r="B152" s="52"/>
      <c r="C152" s="52"/>
      <c r="D152" s="53" t="str">
        <f aca="false">IF(A152="","",N(B152)+N(C152))</f>
        <v/>
      </c>
      <c r="E152" s="49"/>
      <c r="F152" s="54" t="str">
        <f aca="false">IF(A152="","",DATE(YEAR(A152),MONTH(A152),1))</f>
        <v/>
      </c>
    </row>
    <row r="153" customFormat="false" ht="15" hidden="false" customHeight="false" outlineLevel="0" collapsed="false">
      <c r="A153" s="51"/>
      <c r="B153" s="52"/>
      <c r="C153" s="52"/>
      <c r="D153" s="53" t="str">
        <f aca="false">IF(A153="","",N(B153)+N(C153))</f>
        <v/>
      </c>
      <c r="E153" s="49"/>
      <c r="F153" s="54" t="str">
        <f aca="false">IF(A153="","",DATE(YEAR(A153),MONTH(A153),1))</f>
        <v/>
      </c>
    </row>
    <row r="154" customFormat="false" ht="15" hidden="false" customHeight="false" outlineLevel="0" collapsed="false">
      <c r="A154" s="51"/>
      <c r="B154" s="52"/>
      <c r="C154" s="52"/>
      <c r="D154" s="53" t="str">
        <f aca="false">IF(A154="","",N(B154)+N(C154))</f>
        <v/>
      </c>
      <c r="E154" s="49"/>
      <c r="F154" s="54" t="str">
        <f aca="false">IF(A154="","",DATE(YEAR(A154),MONTH(A154),1))</f>
        <v/>
      </c>
    </row>
    <row r="155" customFormat="false" ht="15" hidden="false" customHeight="false" outlineLevel="0" collapsed="false">
      <c r="A155" s="51"/>
      <c r="B155" s="52"/>
      <c r="C155" s="52"/>
      <c r="D155" s="53" t="str">
        <f aca="false">IF(A155="","",N(B155)+N(C155))</f>
        <v/>
      </c>
      <c r="E155" s="49"/>
      <c r="F155" s="54" t="str">
        <f aca="false">IF(A155="","",DATE(YEAR(A155),MONTH(A155),1))</f>
        <v/>
      </c>
    </row>
    <row r="156" customFormat="false" ht="15" hidden="false" customHeight="false" outlineLevel="0" collapsed="false">
      <c r="A156" s="51"/>
      <c r="B156" s="52"/>
      <c r="C156" s="52"/>
      <c r="D156" s="53" t="str">
        <f aca="false">IF(A156="","",N(B156)+N(C156))</f>
        <v/>
      </c>
      <c r="E156" s="49"/>
      <c r="F156" s="54" t="str">
        <f aca="false">IF(A156="","",DATE(YEAR(A156),MONTH(A156),1))</f>
        <v/>
      </c>
    </row>
    <row r="157" customFormat="false" ht="15" hidden="false" customHeight="false" outlineLevel="0" collapsed="false">
      <c r="A157" s="51"/>
      <c r="B157" s="52"/>
      <c r="C157" s="52"/>
      <c r="D157" s="53" t="str">
        <f aca="false">IF(A157="","",N(B157)+N(C157))</f>
        <v/>
      </c>
      <c r="E157" s="49"/>
      <c r="F157" s="54" t="str">
        <f aca="false">IF(A157="","",DATE(YEAR(A157),MONTH(A157),1))</f>
        <v/>
      </c>
    </row>
    <row r="158" customFormat="false" ht="15" hidden="false" customHeight="false" outlineLevel="0" collapsed="false">
      <c r="A158" s="51"/>
      <c r="B158" s="52"/>
      <c r="C158" s="52"/>
      <c r="D158" s="53" t="str">
        <f aca="false">IF(A158="","",N(B158)+N(C158))</f>
        <v/>
      </c>
      <c r="E158" s="49"/>
      <c r="F158" s="54" t="str">
        <f aca="false">IF(A158="","",DATE(YEAR(A158),MONTH(A158),1))</f>
        <v/>
      </c>
    </row>
    <row r="159" customFormat="false" ht="15" hidden="false" customHeight="false" outlineLevel="0" collapsed="false">
      <c r="A159" s="51"/>
      <c r="B159" s="52"/>
      <c r="C159" s="52"/>
      <c r="D159" s="53" t="str">
        <f aca="false">IF(A159="","",N(B159)+N(C159))</f>
        <v/>
      </c>
      <c r="E159" s="49"/>
      <c r="F159" s="54" t="str">
        <f aca="false">IF(A159="","",DATE(YEAR(A159),MONTH(A159),1))</f>
        <v/>
      </c>
    </row>
    <row r="160" customFormat="false" ht="15" hidden="false" customHeight="false" outlineLevel="0" collapsed="false">
      <c r="A160" s="51"/>
      <c r="B160" s="52"/>
      <c r="C160" s="52"/>
      <c r="D160" s="53" t="str">
        <f aca="false">IF(A160="","",N(B160)+N(C160))</f>
        <v/>
      </c>
      <c r="E160" s="49"/>
      <c r="F160" s="54" t="str">
        <f aca="false">IF(A160="","",DATE(YEAR(A160),MONTH(A160),1))</f>
        <v/>
      </c>
    </row>
    <row r="161" customFormat="false" ht="15" hidden="false" customHeight="false" outlineLevel="0" collapsed="false">
      <c r="A161" s="51"/>
      <c r="B161" s="52"/>
      <c r="C161" s="52"/>
      <c r="D161" s="53" t="str">
        <f aca="false">IF(A161="","",N(B161)+N(C161))</f>
        <v/>
      </c>
      <c r="E161" s="49"/>
      <c r="F161" s="54" t="str">
        <f aca="false">IF(A161="","",DATE(YEAR(A161),MONTH(A161),1))</f>
        <v/>
      </c>
    </row>
    <row r="162" customFormat="false" ht="15" hidden="false" customHeight="false" outlineLevel="0" collapsed="false">
      <c r="A162" s="51"/>
      <c r="B162" s="52"/>
      <c r="C162" s="52"/>
      <c r="D162" s="53" t="str">
        <f aca="false">IF(A162="","",N(B162)+N(C162))</f>
        <v/>
      </c>
      <c r="E162" s="49"/>
      <c r="F162" s="54" t="str">
        <f aca="false">IF(A162="","",DATE(YEAR(A162),MONTH(A162),1))</f>
        <v/>
      </c>
    </row>
    <row r="163" customFormat="false" ht="15" hidden="false" customHeight="false" outlineLevel="0" collapsed="false">
      <c r="A163" s="51"/>
      <c r="B163" s="52"/>
      <c r="C163" s="52"/>
      <c r="D163" s="53" t="str">
        <f aca="false">IF(A163="","",N(B163)+N(C163))</f>
        <v/>
      </c>
      <c r="E163" s="49"/>
      <c r="F163" s="54" t="str">
        <f aca="false">IF(A163="","",DATE(YEAR(A163),MONTH(A163),1))</f>
        <v/>
      </c>
    </row>
    <row r="164" customFormat="false" ht="15" hidden="false" customHeight="false" outlineLevel="0" collapsed="false">
      <c r="A164" s="51"/>
      <c r="B164" s="52"/>
      <c r="C164" s="52"/>
      <c r="D164" s="53" t="str">
        <f aca="false">IF(A164="","",N(B164)+N(C164))</f>
        <v/>
      </c>
      <c r="E164" s="49"/>
      <c r="F164" s="54" t="str">
        <f aca="false">IF(A164="","",DATE(YEAR(A164),MONTH(A164),1))</f>
        <v/>
      </c>
    </row>
    <row r="165" customFormat="false" ht="15" hidden="false" customHeight="false" outlineLevel="0" collapsed="false">
      <c r="A165" s="51"/>
      <c r="B165" s="52"/>
      <c r="C165" s="52"/>
      <c r="D165" s="53" t="str">
        <f aca="false">IF(A165="","",N(B165)+N(C165))</f>
        <v/>
      </c>
      <c r="E165" s="49"/>
      <c r="F165" s="54" t="str">
        <f aca="false">IF(A165="","",DATE(YEAR(A165),MONTH(A165),1))</f>
        <v/>
      </c>
    </row>
    <row r="166" customFormat="false" ht="15" hidden="false" customHeight="false" outlineLevel="0" collapsed="false">
      <c r="A166" s="51"/>
      <c r="B166" s="52"/>
      <c r="C166" s="52"/>
      <c r="D166" s="53" t="str">
        <f aca="false">IF(A166="","",N(B166)+N(C166))</f>
        <v/>
      </c>
      <c r="E166" s="49"/>
      <c r="F166" s="54" t="str">
        <f aca="false">IF(A166="","",DATE(YEAR(A166),MONTH(A166),1))</f>
        <v/>
      </c>
    </row>
    <row r="167" customFormat="false" ht="15" hidden="false" customHeight="false" outlineLevel="0" collapsed="false">
      <c r="A167" s="51"/>
      <c r="B167" s="52"/>
      <c r="C167" s="52"/>
      <c r="D167" s="53" t="str">
        <f aca="false">IF(A167="","",N(B167)+N(C167))</f>
        <v/>
      </c>
      <c r="E167" s="49"/>
      <c r="F167" s="54" t="str">
        <f aca="false">IF(A167="","",DATE(YEAR(A167),MONTH(A167),1))</f>
        <v/>
      </c>
    </row>
    <row r="168" customFormat="false" ht="15" hidden="false" customHeight="false" outlineLevel="0" collapsed="false">
      <c r="A168" s="51"/>
      <c r="B168" s="52"/>
      <c r="C168" s="52"/>
      <c r="D168" s="53" t="str">
        <f aca="false">IF(A168="","",N(B168)+N(C168))</f>
        <v/>
      </c>
      <c r="E168" s="49"/>
      <c r="F168" s="54" t="str">
        <f aca="false">IF(A168="","",DATE(YEAR(A168),MONTH(A168),1))</f>
        <v/>
      </c>
    </row>
    <row r="169" customFormat="false" ht="15" hidden="false" customHeight="false" outlineLevel="0" collapsed="false">
      <c r="A169" s="51"/>
      <c r="B169" s="52"/>
      <c r="C169" s="52"/>
      <c r="D169" s="53" t="str">
        <f aca="false">IF(A169="","",N(B169)+N(C169))</f>
        <v/>
      </c>
      <c r="E169" s="49"/>
      <c r="F169" s="54" t="str">
        <f aca="false">IF(A169="","",DATE(YEAR(A169),MONTH(A169),1))</f>
        <v/>
      </c>
    </row>
    <row r="170" customFormat="false" ht="15" hidden="false" customHeight="false" outlineLevel="0" collapsed="false">
      <c r="A170" s="51"/>
      <c r="B170" s="52"/>
      <c r="C170" s="52"/>
      <c r="D170" s="53" t="str">
        <f aca="false">IF(A170="","",N(B170)+N(C170))</f>
        <v/>
      </c>
      <c r="E170" s="49"/>
      <c r="F170" s="54" t="str">
        <f aca="false">IF(A170="","",DATE(YEAR(A170),MONTH(A170),1))</f>
        <v/>
      </c>
    </row>
    <row r="171" customFormat="false" ht="15" hidden="false" customHeight="false" outlineLevel="0" collapsed="false">
      <c r="A171" s="51"/>
      <c r="B171" s="52"/>
      <c r="C171" s="52"/>
      <c r="D171" s="53" t="str">
        <f aca="false">IF(A171="","",N(B171)+N(C171))</f>
        <v/>
      </c>
      <c r="E171" s="49"/>
      <c r="F171" s="54" t="str">
        <f aca="false">IF(A171="","",DATE(YEAR(A171),MONTH(A171),1))</f>
        <v/>
      </c>
    </row>
    <row r="172" customFormat="false" ht="15" hidden="false" customHeight="false" outlineLevel="0" collapsed="false">
      <c r="A172" s="51"/>
      <c r="B172" s="52"/>
      <c r="C172" s="52"/>
      <c r="D172" s="53" t="str">
        <f aca="false">IF(A172="","",N(B172)+N(C172))</f>
        <v/>
      </c>
      <c r="E172" s="49"/>
      <c r="F172" s="54" t="str">
        <f aca="false">IF(A172="","",DATE(YEAR(A172),MONTH(A172),1))</f>
        <v/>
      </c>
    </row>
    <row r="173" customFormat="false" ht="15" hidden="false" customHeight="false" outlineLevel="0" collapsed="false">
      <c r="A173" s="51"/>
      <c r="B173" s="52"/>
      <c r="C173" s="52"/>
      <c r="D173" s="53" t="str">
        <f aca="false">IF(A173="","",N(B173)+N(C173))</f>
        <v/>
      </c>
      <c r="E173" s="49"/>
      <c r="F173" s="54" t="str">
        <f aca="false">IF(A173="","",DATE(YEAR(A173),MONTH(A173),1))</f>
        <v/>
      </c>
    </row>
    <row r="174" customFormat="false" ht="15" hidden="false" customHeight="false" outlineLevel="0" collapsed="false">
      <c r="A174" s="51"/>
      <c r="B174" s="52"/>
      <c r="C174" s="52"/>
      <c r="D174" s="53" t="str">
        <f aca="false">IF(A174="","",N(B174)+N(C174))</f>
        <v/>
      </c>
      <c r="E174" s="49"/>
      <c r="F174" s="54" t="str">
        <f aca="false">IF(A174="","",DATE(YEAR(A174),MONTH(A174),1))</f>
        <v/>
      </c>
    </row>
    <row r="175" customFormat="false" ht="15" hidden="false" customHeight="false" outlineLevel="0" collapsed="false">
      <c r="A175" s="51"/>
      <c r="B175" s="52"/>
      <c r="C175" s="52"/>
      <c r="D175" s="53" t="str">
        <f aca="false">IF(A175="","",N(B175)+N(C175))</f>
        <v/>
      </c>
      <c r="E175" s="49"/>
      <c r="F175" s="54" t="str">
        <f aca="false">IF(A175="","",DATE(YEAR(A175),MONTH(A175),1))</f>
        <v/>
      </c>
    </row>
    <row r="176" customFormat="false" ht="15" hidden="false" customHeight="false" outlineLevel="0" collapsed="false">
      <c r="A176" s="51"/>
      <c r="B176" s="52"/>
      <c r="C176" s="52"/>
      <c r="D176" s="53" t="str">
        <f aca="false">IF(A176="","",N(B176)+N(C176))</f>
        <v/>
      </c>
      <c r="E176" s="49"/>
      <c r="F176" s="54" t="str">
        <f aca="false">IF(A176="","",DATE(YEAR(A176),MONTH(A176),1))</f>
        <v/>
      </c>
    </row>
    <row r="177" customFormat="false" ht="15" hidden="false" customHeight="false" outlineLevel="0" collapsed="false">
      <c r="A177" s="51"/>
      <c r="B177" s="52"/>
      <c r="C177" s="52"/>
      <c r="D177" s="53" t="str">
        <f aca="false">IF(A177="","",N(B177)+N(C177))</f>
        <v/>
      </c>
      <c r="E177" s="49"/>
      <c r="F177" s="54" t="str">
        <f aca="false">IF(A177="","",DATE(YEAR(A177),MONTH(A177),1))</f>
        <v/>
      </c>
    </row>
    <row r="178" customFormat="false" ht="15" hidden="false" customHeight="false" outlineLevel="0" collapsed="false">
      <c r="A178" s="51"/>
      <c r="B178" s="52"/>
      <c r="C178" s="52"/>
      <c r="D178" s="53" t="str">
        <f aca="false">IF(A178="","",N(B178)+N(C178))</f>
        <v/>
      </c>
      <c r="E178" s="49"/>
      <c r="F178" s="54" t="str">
        <f aca="false">IF(A178="","",DATE(YEAR(A178),MONTH(A178),1))</f>
        <v/>
      </c>
    </row>
    <row r="179" customFormat="false" ht="15" hidden="false" customHeight="false" outlineLevel="0" collapsed="false">
      <c r="A179" s="51"/>
      <c r="B179" s="52"/>
      <c r="C179" s="52"/>
      <c r="D179" s="53" t="str">
        <f aca="false">IF(A179="","",N(B179)+N(C179))</f>
        <v/>
      </c>
      <c r="E179" s="49"/>
      <c r="F179" s="54" t="str">
        <f aca="false">IF(A179="","",DATE(YEAR(A179),MONTH(A179),1))</f>
        <v/>
      </c>
    </row>
    <row r="180" customFormat="false" ht="15" hidden="false" customHeight="false" outlineLevel="0" collapsed="false">
      <c r="A180" s="51"/>
      <c r="B180" s="52"/>
      <c r="C180" s="52"/>
      <c r="D180" s="53" t="str">
        <f aca="false">IF(A180="","",N(B180)+N(C180))</f>
        <v/>
      </c>
      <c r="E180" s="49"/>
      <c r="F180" s="54" t="str">
        <f aca="false">IF(A180="","",DATE(YEAR(A180),MONTH(A180),1))</f>
        <v/>
      </c>
    </row>
    <row r="181" customFormat="false" ht="15" hidden="false" customHeight="false" outlineLevel="0" collapsed="false">
      <c r="A181" s="51"/>
      <c r="B181" s="52"/>
      <c r="C181" s="52"/>
      <c r="D181" s="53" t="str">
        <f aca="false">IF(A181="","",N(B181)+N(C181))</f>
        <v/>
      </c>
      <c r="E181" s="49"/>
      <c r="F181" s="54" t="str">
        <f aca="false">IF(A181="","",DATE(YEAR(A181),MONTH(A181),1))</f>
        <v/>
      </c>
    </row>
    <row r="182" customFormat="false" ht="15" hidden="false" customHeight="false" outlineLevel="0" collapsed="false">
      <c r="A182" s="51"/>
      <c r="B182" s="52"/>
      <c r="C182" s="52"/>
      <c r="D182" s="53" t="str">
        <f aca="false">IF(A182="","",N(B182)+N(C182))</f>
        <v/>
      </c>
      <c r="E182" s="49"/>
      <c r="F182" s="54" t="str">
        <f aca="false">IF(A182="","",DATE(YEAR(A182),MONTH(A182),1))</f>
        <v/>
      </c>
    </row>
    <row r="183" customFormat="false" ht="15" hidden="false" customHeight="false" outlineLevel="0" collapsed="false">
      <c r="A183" s="51"/>
      <c r="B183" s="52"/>
      <c r="C183" s="52"/>
      <c r="D183" s="53" t="str">
        <f aca="false">IF(A183="","",N(B183)+N(C183))</f>
        <v/>
      </c>
      <c r="E183" s="49"/>
      <c r="F183" s="54" t="str">
        <f aca="false">IF(A183="","",DATE(YEAR(A183),MONTH(A183),1))</f>
        <v/>
      </c>
    </row>
    <row r="184" customFormat="false" ht="15" hidden="false" customHeight="false" outlineLevel="0" collapsed="false">
      <c r="A184" s="51"/>
      <c r="B184" s="52"/>
      <c r="C184" s="52"/>
      <c r="D184" s="53" t="str">
        <f aca="false">IF(A184="","",N(B184)+N(C184))</f>
        <v/>
      </c>
      <c r="E184" s="49"/>
      <c r="F184" s="54" t="str">
        <f aca="false">IF(A184="","",DATE(YEAR(A184),MONTH(A184),1))</f>
        <v/>
      </c>
    </row>
    <row r="185" customFormat="false" ht="15" hidden="false" customHeight="false" outlineLevel="0" collapsed="false">
      <c r="A185" s="51"/>
      <c r="B185" s="52"/>
      <c r="C185" s="52"/>
      <c r="D185" s="53" t="str">
        <f aca="false">IF(A185="","",N(B185)+N(C185))</f>
        <v/>
      </c>
      <c r="E185" s="49"/>
      <c r="F185" s="54" t="str">
        <f aca="false">IF(A185="","",DATE(YEAR(A185),MONTH(A185),1))</f>
        <v/>
      </c>
    </row>
    <row r="186" customFormat="false" ht="15" hidden="false" customHeight="false" outlineLevel="0" collapsed="false">
      <c r="A186" s="51"/>
      <c r="B186" s="52"/>
      <c r="C186" s="52"/>
      <c r="D186" s="53" t="str">
        <f aca="false">IF(A186="","",N(B186)+N(C186))</f>
        <v/>
      </c>
      <c r="E186" s="49"/>
      <c r="F186" s="54" t="str">
        <f aca="false">IF(A186="","",DATE(YEAR(A186),MONTH(A186),1))</f>
        <v/>
      </c>
    </row>
    <row r="187" customFormat="false" ht="15" hidden="false" customHeight="false" outlineLevel="0" collapsed="false">
      <c r="A187" s="51"/>
      <c r="B187" s="52"/>
      <c r="C187" s="52"/>
      <c r="D187" s="53" t="str">
        <f aca="false">IF(A187="","",N(B187)+N(C187))</f>
        <v/>
      </c>
      <c r="E187" s="49"/>
      <c r="F187" s="54" t="str">
        <f aca="false">IF(A187="","",DATE(YEAR(A187),MONTH(A187),1))</f>
        <v/>
      </c>
    </row>
    <row r="188" customFormat="false" ht="15" hidden="false" customHeight="false" outlineLevel="0" collapsed="false">
      <c r="A188" s="51"/>
      <c r="B188" s="52"/>
      <c r="C188" s="52"/>
      <c r="D188" s="53" t="str">
        <f aca="false">IF(A188="","",N(B188)+N(C188))</f>
        <v/>
      </c>
      <c r="E188" s="49"/>
      <c r="F188" s="54" t="str">
        <f aca="false">IF(A188="","",DATE(YEAR(A188),MONTH(A188),1))</f>
        <v/>
      </c>
    </row>
    <row r="189" customFormat="false" ht="15" hidden="false" customHeight="false" outlineLevel="0" collapsed="false">
      <c r="A189" s="51"/>
      <c r="B189" s="52"/>
      <c r="C189" s="52"/>
      <c r="D189" s="53" t="str">
        <f aca="false">IF(A189="","",N(B189)+N(C189))</f>
        <v/>
      </c>
      <c r="E189" s="49"/>
      <c r="F189" s="54" t="str">
        <f aca="false">IF(A189="","",DATE(YEAR(A189),MONTH(A189),1))</f>
        <v/>
      </c>
    </row>
    <row r="190" customFormat="false" ht="15" hidden="false" customHeight="false" outlineLevel="0" collapsed="false">
      <c r="A190" s="51"/>
      <c r="B190" s="52"/>
      <c r="C190" s="52"/>
      <c r="D190" s="53" t="str">
        <f aca="false">IF(A190="","",N(B190)+N(C190))</f>
        <v/>
      </c>
      <c r="E190" s="49"/>
      <c r="F190" s="54" t="str">
        <f aca="false">IF(A190="","",DATE(YEAR(A190),MONTH(A190),1))</f>
        <v/>
      </c>
    </row>
    <row r="191" customFormat="false" ht="15" hidden="false" customHeight="false" outlineLevel="0" collapsed="false">
      <c r="A191" s="51"/>
      <c r="B191" s="52"/>
      <c r="C191" s="52"/>
      <c r="D191" s="53" t="str">
        <f aca="false">IF(A191="","",N(B191)+N(C191))</f>
        <v/>
      </c>
      <c r="E191" s="49"/>
      <c r="F191" s="54" t="str">
        <f aca="false">IF(A191="","",DATE(YEAR(A191),MONTH(A191),1))</f>
        <v/>
      </c>
    </row>
    <row r="192" customFormat="false" ht="15" hidden="false" customHeight="false" outlineLevel="0" collapsed="false">
      <c r="A192" s="51"/>
      <c r="B192" s="52"/>
      <c r="C192" s="52"/>
      <c r="D192" s="53" t="str">
        <f aca="false">IF(A192="","",N(B192)+N(C192))</f>
        <v/>
      </c>
      <c r="E192" s="49"/>
      <c r="F192" s="54" t="str">
        <f aca="false">IF(A192="","",DATE(YEAR(A192),MONTH(A192),1))</f>
        <v/>
      </c>
    </row>
    <row r="193" customFormat="false" ht="15" hidden="false" customHeight="false" outlineLevel="0" collapsed="false">
      <c r="A193" s="51"/>
      <c r="B193" s="52"/>
      <c r="C193" s="52"/>
      <c r="D193" s="53" t="str">
        <f aca="false">IF(A193="","",N(B193)+N(C193))</f>
        <v/>
      </c>
      <c r="E193" s="49"/>
      <c r="F193" s="54" t="str">
        <f aca="false">IF(A193="","",DATE(YEAR(A193),MONTH(A193),1))</f>
        <v/>
      </c>
    </row>
    <row r="194" customFormat="false" ht="15" hidden="false" customHeight="false" outlineLevel="0" collapsed="false">
      <c r="A194" s="51"/>
      <c r="B194" s="52"/>
      <c r="C194" s="52"/>
      <c r="D194" s="53" t="str">
        <f aca="false">IF(A194="","",N(B194)+N(C194))</f>
        <v/>
      </c>
      <c r="E194" s="49"/>
      <c r="F194" s="54" t="str">
        <f aca="false">IF(A194="","",DATE(YEAR(A194),MONTH(A194),1))</f>
        <v/>
      </c>
    </row>
    <row r="195" customFormat="false" ht="15" hidden="false" customHeight="false" outlineLevel="0" collapsed="false">
      <c r="A195" s="51"/>
      <c r="B195" s="52"/>
      <c r="C195" s="52"/>
      <c r="D195" s="53" t="str">
        <f aca="false">IF(A195="","",N(B195)+N(C195))</f>
        <v/>
      </c>
      <c r="E195" s="49"/>
      <c r="F195" s="54" t="str">
        <f aca="false">IF(A195="","",DATE(YEAR(A195),MONTH(A195),1))</f>
        <v/>
      </c>
    </row>
    <row r="196" customFormat="false" ht="15" hidden="false" customHeight="false" outlineLevel="0" collapsed="false">
      <c r="A196" s="51"/>
      <c r="B196" s="52"/>
      <c r="C196" s="52"/>
      <c r="D196" s="53" t="str">
        <f aca="false">IF(A196="","",N(B196)+N(C196))</f>
        <v/>
      </c>
      <c r="E196" s="49"/>
      <c r="F196" s="54" t="str">
        <f aca="false">IF(A196="","",DATE(YEAR(A196),MONTH(A196),1))</f>
        <v/>
      </c>
    </row>
    <row r="197" customFormat="false" ht="15" hidden="false" customHeight="false" outlineLevel="0" collapsed="false">
      <c r="A197" s="51"/>
      <c r="B197" s="52"/>
      <c r="C197" s="52"/>
      <c r="D197" s="53" t="str">
        <f aca="false">IF(A197="","",N(B197)+N(C197))</f>
        <v/>
      </c>
      <c r="E197" s="49"/>
      <c r="F197" s="54" t="str">
        <f aca="false">IF(A197="","",DATE(YEAR(A197),MONTH(A197),1))</f>
        <v/>
      </c>
    </row>
    <row r="198" customFormat="false" ht="15" hidden="false" customHeight="false" outlineLevel="0" collapsed="false">
      <c r="A198" s="51"/>
      <c r="B198" s="52"/>
      <c r="C198" s="52"/>
      <c r="D198" s="53" t="str">
        <f aca="false">IF(A198="","",N(B198)+N(C198))</f>
        <v/>
      </c>
      <c r="E198" s="49"/>
      <c r="F198" s="54" t="str">
        <f aca="false">IF(A198="","",DATE(YEAR(A198),MONTH(A198),1))</f>
        <v/>
      </c>
    </row>
    <row r="199" customFormat="false" ht="15" hidden="false" customHeight="false" outlineLevel="0" collapsed="false">
      <c r="A199" s="51"/>
      <c r="B199" s="52"/>
      <c r="C199" s="52"/>
      <c r="D199" s="53" t="str">
        <f aca="false">IF(A199="","",N(B199)+N(C199))</f>
        <v/>
      </c>
      <c r="E199" s="49"/>
      <c r="F199" s="54" t="str">
        <f aca="false">IF(A199="","",DATE(YEAR(A199),MONTH(A199),1))</f>
        <v/>
      </c>
    </row>
    <row r="200" customFormat="false" ht="15" hidden="false" customHeight="false" outlineLevel="0" collapsed="false">
      <c r="A200" s="51"/>
      <c r="B200" s="52"/>
      <c r="C200" s="52"/>
      <c r="D200" s="53" t="str">
        <f aca="false">IF(A200="","",N(B200)+N(C200))</f>
        <v/>
      </c>
      <c r="E200" s="49"/>
      <c r="F200" s="54" t="str">
        <f aca="false">IF(A200="","",DATE(YEAR(A200),MONTH(A200),1))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1" t="s">
        <v>602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603</v>
      </c>
    </row>
    <row r="3" customFormat="false" ht="15" hidden="false" customHeight="false" outlineLevel="0" collapsed="false">
      <c r="A3" s="40" t="s">
        <v>604</v>
      </c>
    </row>
    <row r="4" customFormat="false" ht="15" hidden="false" customHeight="false" outlineLevel="0" collapsed="false">
      <c r="A4" s="22" t="s">
        <v>106</v>
      </c>
      <c r="B4" s="55" t="n">
        <f aca="false">EDATE(INDEX('MIS DATOS'!$A$6:$A$245,COUNT('MIS DATOS'!$A$6:$A$245)),-11)</f>
        <v>45931</v>
      </c>
      <c r="C4" s="55" t="n">
        <f aca="false">EDATE(INDEX('MIS DATOS'!$A$6:$A$245,COUNT('MIS DATOS'!$A$6:$A$245)),-10)</f>
        <v>45962</v>
      </c>
      <c r="D4" s="55" t="n">
        <f aca="false">EDATE(INDEX('MIS DATOS'!$A$6:$A$245,COUNT('MIS DATOS'!$A$6:$A$245)),-9)</f>
        <v>45992</v>
      </c>
      <c r="E4" s="55" t="n">
        <f aca="false">EDATE(INDEX('MIS DATOS'!$A$6:$A$245,COUNT('MIS DATOS'!$A$6:$A$245)),-8)</f>
        <v>46023</v>
      </c>
      <c r="F4" s="55" t="n">
        <f aca="false">EDATE(INDEX('MIS DATOS'!$A$6:$A$245,COUNT('MIS DATOS'!$A$6:$A$245)),-7)</f>
        <v>46054</v>
      </c>
      <c r="G4" s="55" t="n">
        <f aca="false">EDATE(INDEX('MIS DATOS'!$A$6:$A$245,COUNT('MIS DATOS'!$A$6:$A$245)),-6)</f>
        <v>46082</v>
      </c>
      <c r="H4" s="55" t="n">
        <f aca="false">EDATE(INDEX('MIS DATOS'!$A$6:$A$245,COUNT('MIS DATOS'!$A$6:$A$245)),-5)</f>
        <v>46113</v>
      </c>
      <c r="I4" s="55" t="n">
        <f aca="false">EDATE(INDEX('MIS DATOS'!$A$6:$A$245,COUNT('MIS DATOS'!$A$6:$A$245)),-4)</f>
        <v>46143</v>
      </c>
      <c r="J4" s="55" t="n">
        <f aca="false">EDATE(INDEX('MIS DATOS'!$A$6:$A$245,COUNT('MIS DATOS'!$A$6:$A$245)),-3)</f>
        <v>46174</v>
      </c>
      <c r="K4" s="55" t="n">
        <f aca="false">EDATE(INDEX('MIS DATOS'!$A$6:$A$245,COUNT('MIS DATOS'!$A$6:$A$245)),-2)</f>
        <v>46204</v>
      </c>
      <c r="L4" s="55" t="n">
        <f aca="false">EDATE(INDEX('MIS DATOS'!$A$6:$A$245,COUNT('MIS DATOS'!$A$6:$A$245)),-1)</f>
        <v>46235</v>
      </c>
      <c r="M4" s="55" t="n">
        <f aca="false">EDATE(INDEX('MIS DATOS'!$A$6:$A$245,COUNT('MIS DATOS'!$A$6:$A$245)),0)</f>
        <v>46266</v>
      </c>
      <c r="N4" s="22" t="s">
        <v>605</v>
      </c>
      <c r="O4" s="22" t="s">
        <v>606</v>
      </c>
      <c r="P4" s="22" t="s">
        <v>607</v>
      </c>
    </row>
    <row r="5" customFormat="false" ht="15" hidden="false" customHeight="false" outlineLevel="0" collapsed="false">
      <c r="A5" s="5" t="s">
        <v>189</v>
      </c>
      <c r="B5" s="34" t="n">
        <f aca="false">-SUMIFS(MOVIMIENTOS!$E$4:$E$20000,MOVIMIENTOS!$G$4:$G$20000,$A5,MOVIMIENTOS!$B$4:$B$20000,B$4)</f>
        <v>850</v>
      </c>
      <c r="C5" s="34" t="n">
        <f aca="false">-SUMIFS(MOVIMIENTOS!$E$4:$E$20000,MOVIMIENTOS!$G$4:$G$20000,$A5,MOVIMIENTOS!$B$4:$B$20000,C$4)</f>
        <v>850</v>
      </c>
      <c r="D5" s="34" t="n">
        <f aca="false">-SUMIFS(MOVIMIENTOS!$E$4:$E$20000,MOVIMIENTOS!$G$4:$G$20000,$A5,MOVIMIENTOS!$B$4:$B$20000,D$4)</f>
        <v>850</v>
      </c>
      <c r="E5" s="34" t="n">
        <f aca="false">-SUMIFS(MOVIMIENTOS!$E$4:$E$20000,MOVIMIENTOS!$G$4:$G$20000,$A5,MOVIMIENTOS!$B$4:$B$20000,E$4)</f>
        <v>850</v>
      </c>
      <c r="F5" s="34" t="n">
        <f aca="false">-SUMIFS(MOVIMIENTOS!$E$4:$E$20000,MOVIMIENTOS!$G$4:$G$20000,$A5,MOVIMIENTOS!$B$4:$B$20000,F$4)</f>
        <v>850</v>
      </c>
      <c r="G5" s="34" t="n">
        <f aca="false">-SUMIFS(MOVIMIENTOS!$E$4:$E$20000,MOVIMIENTOS!$G$4:$G$20000,$A5,MOVIMIENTOS!$B$4:$B$20000,G$4)</f>
        <v>850</v>
      </c>
      <c r="H5" s="34" t="n">
        <f aca="false">-SUMIFS(MOVIMIENTOS!$E$4:$E$20000,MOVIMIENTOS!$G$4:$G$20000,$A5,MOVIMIENTOS!$B$4:$B$20000,H$4)</f>
        <v>850</v>
      </c>
      <c r="I5" s="34" t="n">
        <f aca="false">-SUMIFS(MOVIMIENTOS!$E$4:$E$20000,MOVIMIENTOS!$G$4:$G$20000,$A5,MOVIMIENTOS!$B$4:$B$20000,I$4)</f>
        <v>850</v>
      </c>
      <c r="J5" s="34" t="n">
        <f aca="false">-SUMIFS(MOVIMIENTOS!$E$4:$E$20000,MOVIMIENTOS!$G$4:$G$20000,$A5,MOVIMIENTOS!$B$4:$B$20000,J$4)</f>
        <v>850</v>
      </c>
      <c r="K5" s="34" t="n">
        <f aca="false">-SUMIFS(MOVIMIENTOS!$E$4:$E$20000,MOVIMIENTOS!$G$4:$G$20000,$A5,MOVIMIENTOS!$B$4:$B$20000,K$4)</f>
        <v>850</v>
      </c>
      <c r="L5" s="34" t="n">
        <f aca="false">-SUMIFS(MOVIMIENTOS!$E$4:$E$20000,MOVIMIENTOS!$G$4:$G$20000,$A5,MOVIMIENTOS!$B$4:$B$20000,L$4)</f>
        <v>850</v>
      </c>
      <c r="M5" s="34" t="n">
        <f aca="false">-SUMIFS(MOVIMIENTOS!$E$4:$E$20000,MOVIMIENTOS!$G$4:$G$20000,$A5,MOVIMIENTOS!$B$4:$B$20000,M$4)</f>
        <v>850</v>
      </c>
      <c r="N5" s="56" t="n">
        <f aca="false">SUM(B5:M5)</f>
        <v>10200</v>
      </c>
      <c r="O5" s="23" t="n">
        <f aca="true">IFERROR(SUMIFS(B5:M5,$B$4:$M$4,"&lt;"&amp;DATE(YEAR(TODAY()),MONTH(TODAY()),1))/$B$15,0)</f>
        <v>850</v>
      </c>
      <c r="P5" s="34" t="n">
        <f aca="false">M5</f>
        <v>850</v>
      </c>
    </row>
    <row r="6" customFormat="false" ht="15" hidden="false" customHeight="false" outlineLevel="0" collapsed="false">
      <c r="A6" s="5" t="s">
        <v>608</v>
      </c>
      <c r="B6" s="34" t="n">
        <f aca="false">-SUMIFS(MOVIMIENTOS!$E$4:$E$20000,MOVIMIENTOS!$G$4:$G$20000,$A6,MOVIMIENTOS!$B$4:$B$20000,B$4)</f>
        <v>-0</v>
      </c>
      <c r="C6" s="34" t="n">
        <f aca="false">-SUMIFS(MOVIMIENTOS!$E$4:$E$20000,MOVIMIENTOS!$G$4:$G$20000,$A6,MOVIMIENTOS!$B$4:$B$20000,C$4)</f>
        <v>-0</v>
      </c>
      <c r="D6" s="34" t="n">
        <f aca="false">-SUMIFS(MOVIMIENTOS!$E$4:$E$20000,MOVIMIENTOS!$G$4:$G$20000,$A6,MOVIMIENTOS!$B$4:$B$20000,D$4)</f>
        <v>-0</v>
      </c>
      <c r="E6" s="34" t="n">
        <f aca="false">-SUMIFS(MOVIMIENTOS!$E$4:$E$20000,MOVIMIENTOS!$G$4:$G$20000,$A6,MOVIMIENTOS!$B$4:$B$20000,E$4)</f>
        <v>-0</v>
      </c>
      <c r="F6" s="34" t="n">
        <f aca="false">-SUMIFS(MOVIMIENTOS!$E$4:$E$20000,MOVIMIENTOS!$G$4:$G$20000,$A6,MOVIMIENTOS!$B$4:$B$20000,F$4)</f>
        <v>-0</v>
      </c>
      <c r="G6" s="34" t="n">
        <f aca="false">-SUMIFS(MOVIMIENTOS!$E$4:$E$20000,MOVIMIENTOS!$G$4:$G$20000,$A6,MOVIMIENTOS!$B$4:$B$20000,G$4)</f>
        <v>-0</v>
      </c>
      <c r="H6" s="34" t="n">
        <f aca="false">-SUMIFS(MOVIMIENTOS!$E$4:$E$20000,MOVIMIENTOS!$G$4:$G$20000,$A6,MOVIMIENTOS!$B$4:$B$20000,H$4)</f>
        <v>-0</v>
      </c>
      <c r="I6" s="34" t="n">
        <f aca="false">-SUMIFS(MOVIMIENTOS!$E$4:$E$20000,MOVIMIENTOS!$G$4:$G$20000,$A6,MOVIMIENTOS!$B$4:$B$20000,I$4)</f>
        <v>-0</v>
      </c>
      <c r="J6" s="34" t="n">
        <f aca="false">-SUMIFS(MOVIMIENTOS!$E$4:$E$20000,MOVIMIENTOS!$G$4:$G$20000,$A6,MOVIMIENTOS!$B$4:$B$20000,J$4)</f>
        <v>-0</v>
      </c>
      <c r="K6" s="34" t="n">
        <f aca="false">-SUMIFS(MOVIMIENTOS!$E$4:$E$20000,MOVIMIENTOS!$G$4:$G$20000,$A6,MOVIMIENTOS!$B$4:$B$20000,K$4)</f>
        <v>-0</v>
      </c>
      <c r="L6" s="34" t="n">
        <f aca="false">-SUMIFS(MOVIMIENTOS!$E$4:$E$20000,MOVIMIENTOS!$G$4:$G$20000,$A6,MOVIMIENTOS!$B$4:$B$20000,L$4)</f>
        <v>-0</v>
      </c>
      <c r="M6" s="34" t="n">
        <f aca="false">-SUMIFS(MOVIMIENTOS!$E$4:$E$20000,MOVIMIENTOS!$G$4:$G$20000,$A6,MOVIMIENTOS!$B$4:$B$20000,M$4)</f>
        <v>-0</v>
      </c>
      <c r="N6" s="56" t="n">
        <f aca="false">SUM(B6:M6)</f>
        <v>0</v>
      </c>
      <c r="O6" s="23" t="n">
        <f aca="true">IFERROR(SUMIFS(B6:M6,$B$4:$M$4,"&lt;"&amp;DATE(YEAR(TODAY()),MONTH(TODAY()),1))/$B$15,0)</f>
        <v>0</v>
      </c>
      <c r="P6" s="34" t="n">
        <f aca="false">M6</f>
        <v>-0</v>
      </c>
    </row>
    <row r="7" customFormat="false" ht="15" hidden="false" customHeight="false" outlineLevel="0" collapsed="false">
      <c r="A7" s="5" t="s">
        <v>157</v>
      </c>
      <c r="B7" s="34" t="n">
        <f aca="false">-SUMIFS(MOVIMIENTOS!$E$4:$E$20000,MOVIMIENTOS!$G$4:$G$20000,$A7,MOVIMIENTOS!$B$4:$B$20000,B$4)</f>
        <v>37.38</v>
      </c>
      <c r="C7" s="34" t="n">
        <f aca="false">-SUMIFS(MOVIMIENTOS!$E$4:$E$20000,MOVIMIENTOS!$G$4:$G$20000,$A7,MOVIMIENTOS!$B$4:$B$20000,C$4)</f>
        <v>50.32</v>
      </c>
      <c r="D7" s="34" t="n">
        <f aca="false">-SUMIFS(MOVIMIENTOS!$E$4:$E$20000,MOVIMIENTOS!$G$4:$G$20000,$A7,MOVIMIENTOS!$B$4:$B$20000,D$4)</f>
        <v>58.18</v>
      </c>
      <c r="E7" s="34" t="n">
        <f aca="false">-SUMIFS(MOVIMIENTOS!$E$4:$E$20000,MOVIMIENTOS!$G$4:$G$20000,$A7,MOVIMIENTOS!$B$4:$B$20000,E$4)</f>
        <v>63.54</v>
      </c>
      <c r="F7" s="34" t="n">
        <f aca="false">-SUMIFS(MOVIMIENTOS!$E$4:$E$20000,MOVIMIENTOS!$G$4:$G$20000,$A7,MOVIMIENTOS!$B$4:$B$20000,F$4)</f>
        <v>49.8</v>
      </c>
      <c r="G7" s="34" t="n">
        <f aca="false">-SUMIFS(MOVIMIENTOS!$E$4:$E$20000,MOVIMIENTOS!$G$4:$G$20000,$A7,MOVIMIENTOS!$B$4:$B$20000,G$4)</f>
        <v>40.63</v>
      </c>
      <c r="H7" s="34" t="n">
        <f aca="false">-SUMIFS(MOVIMIENTOS!$E$4:$E$20000,MOVIMIENTOS!$G$4:$G$20000,$A7,MOVIMIENTOS!$B$4:$B$20000,H$4)</f>
        <v>36.17</v>
      </c>
      <c r="I7" s="34" t="n">
        <f aca="false">-SUMIFS(MOVIMIENTOS!$E$4:$E$20000,MOVIMIENTOS!$G$4:$G$20000,$A7,MOVIMIENTOS!$B$4:$B$20000,I$4)</f>
        <v>47.6</v>
      </c>
      <c r="J7" s="34" t="n">
        <f aca="false">-SUMIFS(MOVIMIENTOS!$E$4:$E$20000,MOVIMIENTOS!$G$4:$G$20000,$A7,MOVIMIENTOS!$B$4:$B$20000,J$4)</f>
        <v>50.74</v>
      </c>
      <c r="K7" s="34" t="n">
        <f aca="false">-SUMIFS(MOVIMIENTOS!$E$4:$E$20000,MOVIMIENTOS!$G$4:$G$20000,$A7,MOVIMIENTOS!$B$4:$B$20000,K$4)</f>
        <v>42.64</v>
      </c>
      <c r="L7" s="34" t="n">
        <f aca="false">-SUMIFS(MOVIMIENTOS!$E$4:$E$20000,MOVIMIENTOS!$G$4:$G$20000,$A7,MOVIMIENTOS!$B$4:$B$20000,L$4)</f>
        <v>77.32</v>
      </c>
      <c r="M7" s="34" t="n">
        <f aca="false">-SUMIFS(MOVIMIENTOS!$E$4:$E$20000,MOVIMIENTOS!$G$4:$G$20000,$A7,MOVIMIENTOS!$B$4:$B$20000,M$4)</f>
        <v>38.08</v>
      </c>
      <c r="N7" s="56" t="n">
        <f aca="false">SUM(B7:M7)</f>
        <v>592.4</v>
      </c>
      <c r="O7" s="23" t="n">
        <f aca="true">IFERROR(SUMIFS(B7:M7,$B$4:$M$4,"&lt;"&amp;DATE(YEAR(TODAY()),MONTH(TODAY()),1))/$B$15,0)</f>
        <v>49.3666666666667</v>
      </c>
      <c r="P7" s="34" t="n">
        <f aca="false">M7</f>
        <v>38.08</v>
      </c>
    </row>
    <row r="8" customFormat="false" ht="15" hidden="false" customHeight="false" outlineLevel="0" collapsed="false">
      <c r="A8" s="5" t="s">
        <v>210</v>
      </c>
      <c r="B8" s="34" t="n">
        <f aca="false">-SUMIFS(MOVIMIENTOS!$E$4:$E$20000,MOVIMIENTOS!$G$4:$G$20000,$A8,MOVIMIENTOS!$B$4:$B$20000,B$4)</f>
        <v>36.52</v>
      </c>
      <c r="C8" s="34" t="n">
        <f aca="false">-SUMIFS(MOVIMIENTOS!$E$4:$E$20000,MOVIMIENTOS!$G$4:$G$20000,$A8,MOVIMIENTOS!$B$4:$B$20000,C$4)</f>
        <v>-0</v>
      </c>
      <c r="D8" s="34" t="n">
        <f aca="false">-SUMIFS(MOVIMIENTOS!$E$4:$E$20000,MOVIMIENTOS!$G$4:$G$20000,$A8,MOVIMIENTOS!$B$4:$B$20000,D$4)</f>
        <v>32.13</v>
      </c>
      <c r="E8" s="34" t="n">
        <f aca="false">-SUMIFS(MOVIMIENTOS!$E$4:$E$20000,MOVIMIENTOS!$G$4:$G$20000,$A8,MOVIMIENTOS!$B$4:$B$20000,E$4)</f>
        <v>-0</v>
      </c>
      <c r="F8" s="34" t="n">
        <f aca="false">-SUMIFS(MOVIMIENTOS!$E$4:$E$20000,MOVIMIENTOS!$G$4:$G$20000,$A8,MOVIMIENTOS!$B$4:$B$20000,F$4)</f>
        <v>37.59</v>
      </c>
      <c r="G8" s="34" t="n">
        <f aca="false">-SUMIFS(MOVIMIENTOS!$E$4:$E$20000,MOVIMIENTOS!$G$4:$G$20000,$A8,MOVIMIENTOS!$B$4:$B$20000,G$4)</f>
        <v>-0</v>
      </c>
      <c r="H8" s="34" t="n">
        <f aca="false">-SUMIFS(MOVIMIENTOS!$E$4:$E$20000,MOVIMIENTOS!$G$4:$G$20000,$A8,MOVIMIENTOS!$B$4:$B$20000,H$4)</f>
        <v>34</v>
      </c>
      <c r="I8" s="34" t="n">
        <f aca="false">-SUMIFS(MOVIMIENTOS!$E$4:$E$20000,MOVIMIENTOS!$G$4:$G$20000,$A8,MOVIMIENTOS!$B$4:$B$20000,I$4)</f>
        <v>-0</v>
      </c>
      <c r="J8" s="34" t="n">
        <f aca="false">-SUMIFS(MOVIMIENTOS!$E$4:$E$20000,MOVIMIENTOS!$G$4:$G$20000,$A8,MOVIMIENTOS!$B$4:$B$20000,J$4)</f>
        <v>35.69</v>
      </c>
      <c r="K8" s="34" t="n">
        <f aca="false">-SUMIFS(MOVIMIENTOS!$E$4:$E$20000,MOVIMIENTOS!$G$4:$G$20000,$A8,MOVIMIENTOS!$B$4:$B$20000,K$4)</f>
        <v>-0</v>
      </c>
      <c r="L8" s="34" t="n">
        <f aca="false">-SUMIFS(MOVIMIENTOS!$E$4:$E$20000,MOVIMIENTOS!$G$4:$G$20000,$A8,MOVIMIENTOS!$B$4:$B$20000,L$4)</f>
        <v>37.55</v>
      </c>
      <c r="M8" s="34" t="n">
        <f aca="false">-SUMIFS(MOVIMIENTOS!$E$4:$E$20000,MOVIMIENTOS!$G$4:$G$20000,$A8,MOVIMIENTOS!$B$4:$B$20000,M$4)</f>
        <v>-0</v>
      </c>
      <c r="N8" s="56" t="n">
        <f aca="false">SUM(B8:M8)</f>
        <v>213.48</v>
      </c>
      <c r="O8" s="23" t="n">
        <f aca="true">IFERROR(SUMIFS(B8:M8,$B$4:$M$4,"&lt;"&amp;DATE(YEAR(TODAY()),MONTH(TODAY()),1))/$B$15,0)</f>
        <v>17.79</v>
      </c>
      <c r="P8" s="34" t="n">
        <f aca="false">M8</f>
        <v>-0</v>
      </c>
    </row>
    <row r="9" customFormat="false" ht="15" hidden="false" customHeight="false" outlineLevel="0" collapsed="false">
      <c r="A9" s="5" t="s">
        <v>168</v>
      </c>
      <c r="B9" s="34" t="n">
        <f aca="false">-SUMIFS(MOVIMIENTOS!$E$4:$E$20000,MOVIMIENTOS!$G$4:$G$20000,$A9,MOVIMIENTOS!$B$4:$B$20000,B$4)</f>
        <v>39.9</v>
      </c>
      <c r="C9" s="34" t="n">
        <f aca="false">-SUMIFS(MOVIMIENTOS!$E$4:$E$20000,MOVIMIENTOS!$G$4:$G$20000,$A9,MOVIMIENTOS!$B$4:$B$20000,C$4)</f>
        <v>39.9</v>
      </c>
      <c r="D9" s="34" t="n">
        <f aca="false">-SUMIFS(MOVIMIENTOS!$E$4:$E$20000,MOVIMIENTOS!$G$4:$G$20000,$A9,MOVIMIENTOS!$B$4:$B$20000,D$4)</f>
        <v>39.9</v>
      </c>
      <c r="E9" s="34" t="n">
        <f aca="false">-SUMIFS(MOVIMIENTOS!$E$4:$E$20000,MOVIMIENTOS!$G$4:$G$20000,$A9,MOVIMIENTOS!$B$4:$B$20000,E$4)</f>
        <v>39.9</v>
      </c>
      <c r="F9" s="34" t="n">
        <f aca="false">-SUMIFS(MOVIMIENTOS!$E$4:$E$20000,MOVIMIENTOS!$G$4:$G$20000,$A9,MOVIMIENTOS!$B$4:$B$20000,F$4)</f>
        <v>39.9</v>
      </c>
      <c r="G9" s="34" t="n">
        <f aca="false">-SUMIFS(MOVIMIENTOS!$E$4:$E$20000,MOVIMIENTOS!$G$4:$G$20000,$A9,MOVIMIENTOS!$B$4:$B$20000,G$4)</f>
        <v>39.9</v>
      </c>
      <c r="H9" s="34" t="n">
        <f aca="false">-SUMIFS(MOVIMIENTOS!$E$4:$E$20000,MOVIMIENTOS!$G$4:$G$20000,$A9,MOVIMIENTOS!$B$4:$B$20000,H$4)</f>
        <v>39.9</v>
      </c>
      <c r="I9" s="34" t="n">
        <f aca="false">-SUMIFS(MOVIMIENTOS!$E$4:$E$20000,MOVIMIENTOS!$G$4:$G$20000,$A9,MOVIMIENTOS!$B$4:$B$20000,I$4)</f>
        <v>39.9</v>
      </c>
      <c r="J9" s="34" t="n">
        <f aca="false">-SUMIFS(MOVIMIENTOS!$E$4:$E$20000,MOVIMIENTOS!$G$4:$G$20000,$A9,MOVIMIENTOS!$B$4:$B$20000,J$4)</f>
        <v>39.9</v>
      </c>
      <c r="K9" s="34" t="n">
        <f aca="false">-SUMIFS(MOVIMIENTOS!$E$4:$E$20000,MOVIMIENTOS!$G$4:$G$20000,$A9,MOVIMIENTOS!$B$4:$B$20000,K$4)</f>
        <v>39.9</v>
      </c>
      <c r="L9" s="34" t="n">
        <f aca="false">-SUMIFS(MOVIMIENTOS!$E$4:$E$20000,MOVIMIENTOS!$G$4:$G$20000,$A9,MOVIMIENTOS!$B$4:$B$20000,L$4)</f>
        <v>39.9</v>
      </c>
      <c r="M9" s="34" t="n">
        <f aca="false">-SUMIFS(MOVIMIENTOS!$E$4:$E$20000,MOVIMIENTOS!$G$4:$G$20000,$A9,MOVIMIENTOS!$B$4:$B$20000,M$4)</f>
        <v>39.9</v>
      </c>
      <c r="N9" s="56" t="n">
        <f aca="false">SUM(B9:M9)</f>
        <v>478.8</v>
      </c>
      <c r="O9" s="23" t="n">
        <f aca="true">IFERROR(SUMIFS(B9:M9,$B$4:$M$4,"&lt;"&amp;DATE(YEAR(TODAY()),MONTH(TODAY()),1))/$B$15,0)</f>
        <v>39.9</v>
      </c>
      <c r="P9" s="34" t="n">
        <f aca="false">M9</f>
        <v>39.9</v>
      </c>
    </row>
    <row r="10" customFormat="false" ht="15" hidden="false" customHeight="false" outlineLevel="0" collapsed="false">
      <c r="A10" s="5" t="s">
        <v>609</v>
      </c>
      <c r="B10" s="34" t="n">
        <f aca="false">-SUMIFS(MOVIMIENTOS!$E$4:$E$20000,MOVIMIENTOS!$G$4:$G$20000,$A10,MOVIMIENTOS!$B$4:$B$20000,B$4)</f>
        <v>-0</v>
      </c>
      <c r="C10" s="34" t="n">
        <f aca="false">-SUMIFS(MOVIMIENTOS!$E$4:$E$20000,MOVIMIENTOS!$G$4:$G$20000,$A10,MOVIMIENTOS!$B$4:$B$20000,C$4)</f>
        <v>-0</v>
      </c>
      <c r="D10" s="34" t="n">
        <f aca="false">-SUMIFS(MOVIMIENTOS!$E$4:$E$20000,MOVIMIENTOS!$G$4:$G$20000,$A10,MOVIMIENTOS!$B$4:$B$20000,D$4)</f>
        <v>-0</v>
      </c>
      <c r="E10" s="34" t="n">
        <f aca="false">-SUMIFS(MOVIMIENTOS!$E$4:$E$20000,MOVIMIENTOS!$G$4:$G$20000,$A10,MOVIMIENTOS!$B$4:$B$20000,E$4)</f>
        <v>-0</v>
      </c>
      <c r="F10" s="34" t="n">
        <f aca="false">-SUMIFS(MOVIMIENTOS!$E$4:$E$20000,MOVIMIENTOS!$G$4:$G$20000,$A10,MOVIMIENTOS!$B$4:$B$20000,F$4)</f>
        <v>-0</v>
      </c>
      <c r="G10" s="34" t="n">
        <f aca="false">-SUMIFS(MOVIMIENTOS!$E$4:$E$20000,MOVIMIENTOS!$G$4:$G$20000,$A10,MOVIMIENTOS!$B$4:$B$20000,G$4)</f>
        <v>-0</v>
      </c>
      <c r="H10" s="34" t="n">
        <f aca="false">-SUMIFS(MOVIMIENTOS!$E$4:$E$20000,MOVIMIENTOS!$G$4:$G$20000,$A10,MOVIMIENTOS!$B$4:$B$20000,H$4)</f>
        <v>-0</v>
      </c>
      <c r="I10" s="34" t="n">
        <f aca="false">-SUMIFS(MOVIMIENTOS!$E$4:$E$20000,MOVIMIENTOS!$G$4:$G$20000,$A10,MOVIMIENTOS!$B$4:$B$20000,I$4)</f>
        <v>-0</v>
      </c>
      <c r="J10" s="34" t="n">
        <f aca="false">-SUMIFS(MOVIMIENTOS!$E$4:$E$20000,MOVIMIENTOS!$G$4:$G$20000,$A10,MOVIMIENTOS!$B$4:$B$20000,J$4)</f>
        <v>-0</v>
      </c>
      <c r="K10" s="34" t="n">
        <f aca="false">-SUMIFS(MOVIMIENTOS!$E$4:$E$20000,MOVIMIENTOS!$G$4:$G$20000,$A10,MOVIMIENTOS!$B$4:$B$20000,K$4)</f>
        <v>-0</v>
      </c>
      <c r="L10" s="34" t="n">
        <f aca="false">-SUMIFS(MOVIMIENTOS!$E$4:$E$20000,MOVIMIENTOS!$G$4:$G$20000,$A10,MOVIMIENTOS!$B$4:$B$20000,L$4)</f>
        <v>-0</v>
      </c>
      <c r="M10" s="34" t="n">
        <f aca="false">-SUMIFS(MOVIMIENTOS!$E$4:$E$20000,MOVIMIENTOS!$G$4:$G$20000,$A10,MOVIMIENTOS!$B$4:$B$20000,M$4)</f>
        <v>-0</v>
      </c>
      <c r="N10" s="56" t="n">
        <f aca="false">SUM(B10:M10)</f>
        <v>0</v>
      </c>
      <c r="O10" s="23" t="n">
        <f aca="true">IFERROR(SUMIFS(B10:M10,$B$4:$M$4,"&lt;"&amp;DATE(YEAR(TODAY()),MONTH(TODAY()),1))/$B$15,0)</f>
        <v>0</v>
      </c>
      <c r="P10" s="34" t="n">
        <f aca="false">M10</f>
        <v>-0</v>
      </c>
    </row>
    <row r="11" customFormat="false" ht="15" hidden="false" customHeight="false" outlineLevel="0" collapsed="false">
      <c r="A11" s="5" t="s">
        <v>391</v>
      </c>
      <c r="B11" s="34" t="n">
        <f aca="false">-SUMIFS(MOVIMIENTOS!$E$4:$E$20000,MOVIMIENTOS!$G$4:$G$20000,$A11,MOVIMIENTOS!$B$4:$B$20000,B$4)</f>
        <v>-0</v>
      </c>
      <c r="C11" s="34" t="n">
        <f aca="false">-SUMIFS(MOVIMIENTOS!$E$4:$E$20000,MOVIMIENTOS!$G$4:$G$20000,$A11,MOVIMIENTOS!$B$4:$B$20000,C$4)</f>
        <v>-0</v>
      </c>
      <c r="D11" s="34" t="n">
        <f aca="false">-SUMIFS(MOVIMIENTOS!$E$4:$E$20000,MOVIMIENTOS!$G$4:$G$20000,$A11,MOVIMIENTOS!$B$4:$B$20000,D$4)</f>
        <v>-0</v>
      </c>
      <c r="E11" s="34" t="n">
        <f aca="false">-SUMIFS(MOVIMIENTOS!$E$4:$E$20000,MOVIMIENTOS!$G$4:$G$20000,$A11,MOVIMIENTOS!$B$4:$B$20000,E$4)</f>
        <v>-0</v>
      </c>
      <c r="F11" s="34" t="n">
        <f aca="false">-SUMIFS(MOVIMIENTOS!$E$4:$E$20000,MOVIMIENTOS!$G$4:$G$20000,$A11,MOVIMIENTOS!$B$4:$B$20000,F$4)</f>
        <v>-0</v>
      </c>
      <c r="G11" s="34" t="n">
        <f aca="false">-SUMIFS(MOVIMIENTOS!$E$4:$E$20000,MOVIMIENTOS!$G$4:$G$20000,$A11,MOVIMIENTOS!$B$4:$B$20000,G$4)</f>
        <v>148</v>
      </c>
      <c r="H11" s="34" t="n">
        <f aca="false">-SUMIFS(MOVIMIENTOS!$E$4:$E$20000,MOVIMIENTOS!$G$4:$G$20000,$A11,MOVIMIENTOS!$B$4:$B$20000,H$4)</f>
        <v>-0</v>
      </c>
      <c r="I11" s="34" t="n">
        <f aca="false">-SUMIFS(MOVIMIENTOS!$E$4:$E$20000,MOVIMIENTOS!$G$4:$G$20000,$A11,MOVIMIENTOS!$B$4:$B$20000,I$4)</f>
        <v>-0</v>
      </c>
      <c r="J11" s="34" t="n">
        <f aca="false">-SUMIFS(MOVIMIENTOS!$E$4:$E$20000,MOVIMIENTOS!$G$4:$G$20000,$A11,MOVIMIENTOS!$B$4:$B$20000,J$4)</f>
        <v>-0</v>
      </c>
      <c r="K11" s="34" t="n">
        <f aca="false">-SUMIFS(MOVIMIENTOS!$E$4:$E$20000,MOVIMIENTOS!$G$4:$G$20000,$A11,MOVIMIENTOS!$B$4:$B$20000,K$4)</f>
        <v>-0</v>
      </c>
      <c r="L11" s="34" t="n">
        <f aca="false">-SUMIFS(MOVIMIENTOS!$E$4:$E$20000,MOVIMIENTOS!$G$4:$G$20000,$A11,MOVIMIENTOS!$B$4:$B$20000,L$4)</f>
        <v>-0</v>
      </c>
      <c r="M11" s="34" t="n">
        <f aca="false">-SUMIFS(MOVIMIENTOS!$E$4:$E$20000,MOVIMIENTOS!$G$4:$G$20000,$A11,MOVIMIENTOS!$B$4:$B$20000,M$4)</f>
        <v>-0</v>
      </c>
      <c r="N11" s="56" t="n">
        <f aca="false">SUM(B11:M11)</f>
        <v>148</v>
      </c>
      <c r="O11" s="23" t="n">
        <f aca="true">IFERROR(SUMIFS(B11:M11,$B$4:$M$4,"&lt;"&amp;DATE(YEAR(TODAY()),MONTH(TODAY()),1))/$B$15,0)</f>
        <v>12.3333333333333</v>
      </c>
      <c r="P11" s="34" t="n">
        <f aca="false">M11</f>
        <v>-0</v>
      </c>
    </row>
    <row r="12" customFormat="false" ht="15" hidden="false" customHeight="false" outlineLevel="0" collapsed="false">
      <c r="A12" s="5" t="s">
        <v>610</v>
      </c>
      <c r="B12" s="34" t="n">
        <f aca="false">-SUMIFS(MOVIMIENTOS!$E$4:$E$20000,MOVIMIENTOS!$G$4:$G$20000,$A12,MOVIMIENTOS!$B$4:$B$20000,B$4)</f>
        <v>-0</v>
      </c>
      <c r="C12" s="34" t="n">
        <f aca="false">-SUMIFS(MOVIMIENTOS!$E$4:$E$20000,MOVIMIENTOS!$G$4:$G$20000,$A12,MOVIMIENTOS!$B$4:$B$20000,C$4)</f>
        <v>-0</v>
      </c>
      <c r="D12" s="34" t="n">
        <f aca="false">-SUMIFS(MOVIMIENTOS!$E$4:$E$20000,MOVIMIENTOS!$G$4:$G$20000,$A12,MOVIMIENTOS!$B$4:$B$20000,D$4)</f>
        <v>-0</v>
      </c>
      <c r="E12" s="34" t="n">
        <f aca="false">-SUMIFS(MOVIMIENTOS!$E$4:$E$20000,MOVIMIENTOS!$G$4:$G$20000,$A12,MOVIMIENTOS!$B$4:$B$20000,E$4)</f>
        <v>-0</v>
      </c>
      <c r="F12" s="34" t="n">
        <f aca="false">-SUMIFS(MOVIMIENTOS!$E$4:$E$20000,MOVIMIENTOS!$G$4:$G$20000,$A12,MOVIMIENTOS!$B$4:$B$20000,F$4)</f>
        <v>-0</v>
      </c>
      <c r="G12" s="34" t="n">
        <f aca="false">-SUMIFS(MOVIMIENTOS!$E$4:$E$20000,MOVIMIENTOS!$G$4:$G$20000,$A12,MOVIMIENTOS!$B$4:$B$20000,G$4)</f>
        <v>-0</v>
      </c>
      <c r="H12" s="34" t="n">
        <f aca="false">-SUMIFS(MOVIMIENTOS!$E$4:$E$20000,MOVIMIENTOS!$G$4:$G$20000,$A12,MOVIMIENTOS!$B$4:$B$20000,H$4)</f>
        <v>-0</v>
      </c>
      <c r="I12" s="34" t="n">
        <f aca="false">-SUMIFS(MOVIMIENTOS!$E$4:$E$20000,MOVIMIENTOS!$G$4:$G$20000,$A12,MOVIMIENTOS!$B$4:$B$20000,I$4)</f>
        <v>-0</v>
      </c>
      <c r="J12" s="34" t="n">
        <f aca="false">-SUMIFS(MOVIMIENTOS!$E$4:$E$20000,MOVIMIENTOS!$G$4:$G$20000,$A12,MOVIMIENTOS!$B$4:$B$20000,J$4)</f>
        <v>-0</v>
      </c>
      <c r="K12" s="34" t="n">
        <f aca="false">-SUMIFS(MOVIMIENTOS!$E$4:$E$20000,MOVIMIENTOS!$G$4:$G$20000,$A12,MOVIMIENTOS!$B$4:$B$20000,K$4)</f>
        <v>-0</v>
      </c>
      <c r="L12" s="34" t="n">
        <f aca="false">-SUMIFS(MOVIMIENTOS!$E$4:$E$20000,MOVIMIENTOS!$G$4:$G$20000,$A12,MOVIMIENTOS!$B$4:$B$20000,L$4)</f>
        <v>-0</v>
      </c>
      <c r="M12" s="34" t="n">
        <f aca="false">-SUMIFS(MOVIMIENTOS!$E$4:$E$20000,MOVIMIENTOS!$G$4:$G$20000,$A12,MOVIMIENTOS!$B$4:$B$20000,M$4)</f>
        <v>-0</v>
      </c>
      <c r="N12" s="56" t="n">
        <f aca="false">SUM(B12:M12)</f>
        <v>0</v>
      </c>
      <c r="O12" s="23" t="n">
        <f aca="true">IFERROR(SUMIFS(B12:M12,$B$4:$M$4,"&lt;"&amp;DATE(YEAR(TODAY()),MONTH(TODAY()),1))/$B$15,0)</f>
        <v>0</v>
      </c>
      <c r="P12" s="34" t="n">
        <f aca="false">M12</f>
        <v>-0</v>
      </c>
    </row>
    <row r="13" customFormat="false" ht="15" hidden="false" customHeight="false" outlineLevel="0" collapsed="false">
      <c r="A13" s="57" t="s">
        <v>611</v>
      </c>
      <c r="B13" s="58" t="n">
        <f aca="false">SUM(B5:B12)</f>
        <v>963.8</v>
      </c>
      <c r="C13" s="58" t="n">
        <f aca="false">SUM(C5:C12)</f>
        <v>940.22</v>
      </c>
      <c r="D13" s="58" t="n">
        <f aca="false">SUM(D5:D12)</f>
        <v>980.21</v>
      </c>
      <c r="E13" s="58" t="n">
        <f aca="false">SUM(E5:E12)</f>
        <v>953.44</v>
      </c>
      <c r="F13" s="58" t="n">
        <f aca="false">SUM(F5:F12)</f>
        <v>977.29</v>
      </c>
      <c r="G13" s="58" t="n">
        <f aca="false">SUM(G5:G12)</f>
        <v>1078.53</v>
      </c>
      <c r="H13" s="58" t="n">
        <f aca="false">SUM(H5:H12)</f>
        <v>960.07</v>
      </c>
      <c r="I13" s="58" t="n">
        <f aca="false">SUM(I5:I12)</f>
        <v>937.5</v>
      </c>
      <c r="J13" s="58" t="n">
        <f aca="false">SUM(J5:J12)</f>
        <v>976.33</v>
      </c>
      <c r="K13" s="58" t="n">
        <f aca="false">SUM(K5:K12)</f>
        <v>932.54</v>
      </c>
      <c r="L13" s="58" t="n">
        <f aca="false">SUM(L5:L12)</f>
        <v>1004.77</v>
      </c>
      <c r="M13" s="58" t="n">
        <f aca="false">SUM(M5:M12)</f>
        <v>927.98</v>
      </c>
      <c r="N13" s="58" t="n">
        <f aca="false">SUM(N5:N12)</f>
        <v>11632.68</v>
      </c>
      <c r="O13" s="58" t="n">
        <f aca="false">SUM(O5:O12)</f>
        <v>969.39</v>
      </c>
      <c r="P13" s="58" t="n">
        <f aca="false">SUM(P5:P12)</f>
        <v>927.98</v>
      </c>
    </row>
    <row r="15" customFormat="false" ht="15" hidden="false" customHeight="false" outlineLevel="0" collapsed="false">
      <c r="A15" s="40" t="s">
        <v>612</v>
      </c>
      <c r="B15" s="26" t="n">
        <f aca="true">COUNTIFS($B$4:$M$4,"&gt;="&amp;'MIS DATOS'!$A$6,$B$4:$M$4,"&lt;"&amp;DATE(YEAR(TODAY()),MONTH(TODAY()),1))</f>
        <v>12</v>
      </c>
    </row>
    <row r="16" customFormat="false" ht="15" hidden="false" customHeight="false" outlineLevel="0" collapsed="false">
      <c r="A16" s="7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614</v>
      </c>
      <c r="B1" s="2"/>
      <c r="C1" s="2"/>
      <c r="D1" s="2"/>
    </row>
    <row r="2" customFormat="false" ht="15" hidden="false" customHeight="false" outlineLevel="0" collapsed="false">
      <c r="A2" s="3" t="s">
        <v>615</v>
      </c>
    </row>
    <row r="4" customFormat="false" ht="15" hidden="false" customHeight="false" outlineLevel="0" collapsed="false">
      <c r="A4" s="16" t="s">
        <v>616</v>
      </c>
      <c r="B4" s="17"/>
      <c r="C4" s="17"/>
    </row>
    <row r="5" customFormat="false" ht="15" hidden="false" customHeight="false" outlineLevel="0" collapsed="false">
      <c r="A5" s="5" t="s">
        <v>617</v>
      </c>
      <c r="B5" s="28" t="n">
        <v>0</v>
      </c>
      <c r="C5" s="40" t="s">
        <v>618</v>
      </c>
    </row>
    <row r="6" customFormat="false" ht="15" hidden="false" customHeight="false" outlineLevel="0" collapsed="false">
      <c r="A6" s="5" t="s">
        <v>619</v>
      </c>
      <c r="B6" s="28" t="n">
        <v>0</v>
      </c>
      <c r="C6" s="40"/>
    </row>
    <row r="7" customFormat="false" ht="15" hidden="false" customHeight="false" outlineLevel="0" collapsed="false">
      <c r="A7" s="5" t="s">
        <v>620</v>
      </c>
      <c r="B7" s="28" t="n">
        <v>0</v>
      </c>
      <c r="C7" s="40"/>
    </row>
    <row r="8" customFormat="false" ht="15" hidden="false" customHeight="false" outlineLevel="0" collapsed="false">
      <c r="A8" s="5" t="s">
        <v>621</v>
      </c>
      <c r="B8" s="49" t="s">
        <v>622</v>
      </c>
      <c r="C8" s="40"/>
    </row>
    <row r="9" customFormat="false" ht="15" hidden="false" customHeight="false" outlineLevel="0" collapsed="false">
      <c r="A9" s="5" t="s">
        <v>623</v>
      </c>
      <c r="B9" s="59" t="n">
        <v>0.05</v>
      </c>
      <c r="C9" s="40"/>
    </row>
    <row r="10" customFormat="false" ht="15" hidden="false" customHeight="false" outlineLevel="0" collapsed="false">
      <c r="A10" s="5" t="s">
        <v>624</v>
      </c>
      <c r="B10" s="49" t="s">
        <v>622</v>
      </c>
      <c r="C10" s="40"/>
    </row>
    <row r="11" customFormat="false" ht="15" hidden="false" customHeight="false" outlineLevel="0" collapsed="false">
      <c r="A11" s="5" t="s">
        <v>625</v>
      </c>
      <c r="B11" s="49" t="s">
        <v>626</v>
      </c>
      <c r="C11" s="40" t="s">
        <v>627</v>
      </c>
    </row>
    <row r="13" customFormat="false" ht="15" hidden="false" customHeight="false" outlineLevel="0" collapsed="false">
      <c r="A13" s="16" t="s">
        <v>628</v>
      </c>
      <c r="B13" s="17"/>
      <c r="C13" s="17"/>
    </row>
    <row r="14" customFormat="false" ht="15" hidden="false" customHeight="false" outlineLevel="0" collapsed="false">
      <c r="A14" s="5" t="s">
        <v>629</v>
      </c>
      <c r="B14" s="26" t="n">
        <f aca="false">IF(DECISIONES!$B$11="Comprar ya",0,VIVIENDA!$B$15)</f>
        <v>0</v>
      </c>
    </row>
    <row r="15" customFormat="false" ht="15" hidden="false" customHeight="false" outlineLevel="0" collapsed="false">
      <c r="A15" s="5" t="s">
        <v>630</v>
      </c>
      <c r="B15" s="23" t="n">
        <f aca="false">IF(DECISIONES!$B$10="Sí",IF(DECISIONES!$B$11="Comprar ya",VIVIENDA!$B$26,VIVIENDA!$G$27),0)</f>
        <v>55000</v>
      </c>
    </row>
    <row r="16" customFormat="false" ht="15" hidden="false" customHeight="false" outlineLevel="0" collapsed="false">
      <c r="A16" s="5" t="s">
        <v>631</v>
      </c>
      <c r="B16" s="23" t="n">
        <f aca="false">IF(DECISIONES!$B$10="Sí",IF(DECISIONES!$B$11="Comprar ya",VIVIENDA!$B$25,VIVIENDA!$G$26),0)</f>
        <v>181100</v>
      </c>
    </row>
    <row r="17" customFormat="false" ht="15" hidden="false" customHeight="false" outlineLevel="0" collapsed="false">
      <c r="A17" s="5" t="s">
        <v>632</v>
      </c>
      <c r="B17" s="23" t="n">
        <f aca="false">IF(DECISIONES!$B$10="Sí",IF(DECISIONES!$B$11="Comprar ya",VIVIENDA!$B$30,VIVIENDA!$G$30),0)</f>
        <v>849.406968781839</v>
      </c>
    </row>
    <row r="18" customFormat="false" ht="15" hidden="false" customHeight="false" outlineLevel="0" collapsed="false">
      <c r="A18" s="5" t="s">
        <v>633</v>
      </c>
      <c r="B18" s="26" t="n">
        <f aca="false">IF(DECISIONES!$B$11="Comprar ya",VIVIENDA!$B$29,VIVIENDA!$G$29)</f>
        <v>25</v>
      </c>
    </row>
    <row r="19" customFormat="false" ht="15" hidden="false" customHeight="false" outlineLevel="0" collapsed="false">
      <c r="A19" s="5" t="s">
        <v>634</v>
      </c>
      <c r="B19" s="23" t="n">
        <f aca="false">IF(DECISIONES!$B$10="Sí",VIVIENDA!$B$14,0)</f>
        <v>850</v>
      </c>
    </row>
    <row r="21" customFormat="false" ht="15" hidden="false" customHeight="false" outlineLevel="0" collapsed="false">
      <c r="A21" s="60" t="str">
        <f aca="false">IF(AND(DECISIONES!$B$10="Sí",DECISIONES!$B$14=0,DECISIONES!$B$15&gt;PROYECCIÓN!$B$5+PROYECCIÓN!$B$6-PARÁMETROS!$B$15*PARÁMETROS!$B$18),"⚠️ Con tus saldos de hoy, la compra se come parte del colchón de emergencia","")</f>
        <v/>
      </c>
    </row>
    <row r="22" customFormat="false" ht="15" hidden="false" customHeight="false" outlineLevel="0" collapsed="false">
      <c r="A22" s="61" t="str">
        <f aca="false">IF(AND(DECISIONES!$B$10="Sí",DECISIONES!$B$14+DECISIONES!$B$18&gt;PARÁMETROS!$B$5-PARÁMETROS!$B$4),"ℹ️ La hipoteca sigue "&amp;(DECISIONES!$B$14+DECISIONES!$B$18-(PARÁMETROS!$B$5-PARÁMETROS!$B$4))&amp;" años después de jubilarte: la cuota se suma a lo que sacas","")</f>
        <v/>
      </c>
    </row>
    <row r="24" customFormat="false" ht="15" hidden="false" customHeight="false" outlineLevel="0" collapsed="false">
      <c r="A24" s="7" t="s">
        <v>635</v>
      </c>
    </row>
    <row r="25" customFormat="false" ht="15" hidden="false" customHeight="false" outlineLevel="0" collapsed="false">
      <c r="A25" s="7" t="s">
        <v>636</v>
      </c>
    </row>
  </sheetData>
  <dataValidations count="2">
    <dataValidation allowBlank="false" errorStyle="stop" operator="between" showDropDown="false" showErrorMessage="false" showInputMessage="false" sqref="B8 B10" type="list">
      <formula1>"Sí,No"</formula1>
      <formula2>0</formula2>
    </dataValidation>
    <dataValidation allowBlank="false" errorStyle="stop" operator="between" showDropDown="false" showErrorMessage="false" showInputMessage="false" sqref="B11" type="list">
      <formula1>"Comprar ya,Esperar"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32"/>
    <col collapsed="false" customWidth="true" hidden="false" outlineLevel="0" max="5" min="5" style="0" width="48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637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638</v>
      </c>
    </row>
    <row r="3" customFormat="false" ht="15" hidden="false" customHeight="false" outlineLevel="0" collapsed="false">
      <c r="A3" s="22" t="s">
        <v>104</v>
      </c>
      <c r="B3" s="22" t="s">
        <v>639</v>
      </c>
      <c r="C3" s="22" t="s">
        <v>640</v>
      </c>
      <c r="D3" s="22" t="s">
        <v>641</v>
      </c>
      <c r="E3" s="22" t="s">
        <v>642</v>
      </c>
      <c r="F3" s="22" t="s">
        <v>643</v>
      </c>
    </row>
    <row r="4" customFormat="false" ht="26.85" hidden="false" customHeight="false" outlineLevel="0" collapsed="false">
      <c r="A4" s="62" t="n">
        <v>46295</v>
      </c>
      <c r="B4" s="63" t="s">
        <v>644</v>
      </c>
      <c r="C4" s="63" t="s">
        <v>645</v>
      </c>
      <c r="D4" s="63" t="s">
        <v>646</v>
      </c>
      <c r="E4" s="63" t="s">
        <v>647</v>
      </c>
      <c r="F4" s="63" t="s">
        <v>28</v>
      </c>
    </row>
    <row r="5" customFormat="false" ht="26.85" hidden="false" customHeight="false" outlineLevel="0" collapsed="false">
      <c r="A5" s="62" t="n">
        <v>46280</v>
      </c>
      <c r="B5" s="63" t="s">
        <v>648</v>
      </c>
      <c r="C5" s="63" t="s">
        <v>649</v>
      </c>
      <c r="D5" s="63" t="s">
        <v>650</v>
      </c>
      <c r="E5" s="63" t="s">
        <v>651</v>
      </c>
      <c r="F5" s="63" t="s">
        <v>20</v>
      </c>
    </row>
    <row r="6" customFormat="false" ht="15" hidden="false" customHeight="false" outlineLevel="0" collapsed="false">
      <c r="A6" s="62"/>
      <c r="B6" s="63"/>
      <c r="C6" s="63"/>
      <c r="D6" s="63"/>
      <c r="E6" s="63"/>
      <c r="F6" s="63"/>
    </row>
    <row r="7" customFormat="false" ht="15" hidden="false" customHeight="false" outlineLevel="0" collapsed="false">
      <c r="A7" s="62"/>
      <c r="B7" s="63"/>
      <c r="C7" s="63"/>
      <c r="D7" s="63"/>
      <c r="E7" s="63"/>
      <c r="F7" s="63"/>
    </row>
    <row r="8" customFormat="false" ht="15" hidden="false" customHeight="false" outlineLevel="0" collapsed="false">
      <c r="A8" s="62"/>
      <c r="B8" s="63"/>
      <c r="C8" s="63"/>
      <c r="D8" s="63"/>
      <c r="E8" s="63"/>
      <c r="F8" s="63"/>
    </row>
    <row r="9" customFormat="false" ht="15" hidden="false" customHeight="false" outlineLevel="0" collapsed="false">
      <c r="A9" s="62"/>
      <c r="B9" s="63"/>
      <c r="C9" s="63"/>
      <c r="D9" s="63"/>
      <c r="E9" s="63"/>
      <c r="F9" s="63"/>
    </row>
    <row r="10" customFormat="false" ht="15" hidden="false" customHeight="false" outlineLevel="0" collapsed="false">
      <c r="A10" s="62"/>
      <c r="B10" s="63"/>
      <c r="C10" s="63"/>
      <c r="D10" s="63"/>
      <c r="E10" s="63"/>
      <c r="F10" s="63"/>
    </row>
    <row r="11" customFormat="false" ht="15" hidden="false" customHeight="false" outlineLevel="0" collapsed="false">
      <c r="A11" s="62"/>
      <c r="B11" s="63"/>
      <c r="C11" s="63"/>
      <c r="D11" s="63"/>
      <c r="E11" s="63"/>
      <c r="F11" s="63"/>
    </row>
    <row r="12" customFormat="false" ht="15" hidden="false" customHeight="false" outlineLevel="0" collapsed="false">
      <c r="A12" s="62"/>
      <c r="B12" s="63"/>
      <c r="C12" s="63"/>
      <c r="D12" s="63"/>
      <c r="E12" s="63"/>
      <c r="F12" s="63"/>
    </row>
    <row r="13" customFormat="false" ht="15" hidden="false" customHeight="false" outlineLevel="0" collapsed="false">
      <c r="A13" s="62"/>
      <c r="B13" s="63"/>
      <c r="C13" s="63"/>
      <c r="D13" s="63"/>
      <c r="E13" s="63"/>
      <c r="F13" s="63"/>
    </row>
    <row r="14" customFormat="false" ht="15" hidden="false" customHeight="false" outlineLevel="0" collapsed="false">
      <c r="A14" s="62"/>
      <c r="B14" s="63"/>
      <c r="C14" s="63"/>
      <c r="D14" s="63"/>
      <c r="E14" s="63"/>
      <c r="F14" s="63"/>
    </row>
    <row r="15" customFormat="false" ht="15" hidden="false" customHeight="false" outlineLevel="0" collapsed="false">
      <c r="A15" s="62"/>
      <c r="B15" s="63"/>
      <c r="C15" s="63"/>
      <c r="D15" s="63"/>
      <c r="E15" s="63"/>
      <c r="F15" s="63"/>
    </row>
    <row r="16" customFormat="false" ht="15" hidden="false" customHeight="false" outlineLevel="0" collapsed="false">
      <c r="A16" s="62"/>
      <c r="B16" s="63"/>
      <c r="C16" s="63"/>
      <c r="D16" s="63"/>
      <c r="E16" s="63"/>
      <c r="F16" s="63"/>
    </row>
    <row r="17" customFormat="false" ht="15" hidden="false" customHeight="false" outlineLevel="0" collapsed="false">
      <c r="A17" s="62"/>
      <c r="B17" s="63"/>
      <c r="C17" s="63"/>
      <c r="D17" s="63"/>
      <c r="E17" s="63"/>
      <c r="F17" s="63"/>
    </row>
    <row r="18" customFormat="false" ht="15" hidden="false" customHeight="false" outlineLevel="0" collapsed="false">
      <c r="A18" s="62"/>
      <c r="B18" s="63"/>
      <c r="C18" s="63"/>
      <c r="D18" s="63"/>
      <c r="E18" s="63"/>
      <c r="F18" s="63"/>
    </row>
    <row r="19" customFormat="false" ht="15" hidden="false" customHeight="false" outlineLevel="0" collapsed="false">
      <c r="A19" s="62"/>
      <c r="B19" s="63"/>
      <c r="C19" s="63"/>
      <c r="D19" s="63"/>
      <c r="E19" s="63"/>
      <c r="F19" s="63"/>
    </row>
    <row r="20" customFormat="false" ht="15" hidden="false" customHeight="false" outlineLevel="0" collapsed="false">
      <c r="A20" s="62"/>
      <c r="B20" s="63"/>
      <c r="C20" s="63"/>
      <c r="D20" s="63"/>
      <c r="E20" s="63"/>
      <c r="F20" s="63"/>
    </row>
    <row r="21" customFormat="false" ht="15" hidden="false" customHeight="false" outlineLevel="0" collapsed="false">
      <c r="A21" s="62"/>
      <c r="B21" s="63"/>
      <c r="C21" s="63"/>
      <c r="D21" s="63"/>
      <c r="E21" s="63"/>
      <c r="F21" s="63"/>
    </row>
    <row r="22" customFormat="false" ht="15" hidden="false" customHeight="false" outlineLevel="0" collapsed="false">
      <c r="A22" s="62"/>
      <c r="B22" s="63"/>
      <c r="C22" s="63"/>
      <c r="D22" s="63"/>
      <c r="E22" s="63"/>
      <c r="F22" s="63"/>
    </row>
    <row r="23" customFormat="false" ht="15" hidden="false" customHeight="false" outlineLevel="0" collapsed="false">
      <c r="A23" s="62"/>
      <c r="B23" s="63"/>
      <c r="C23" s="63"/>
      <c r="D23" s="63"/>
      <c r="E23" s="63"/>
      <c r="F23" s="63"/>
    </row>
    <row r="24" customFormat="false" ht="15" hidden="false" customHeight="false" outlineLevel="0" collapsed="false">
      <c r="A24" s="62"/>
      <c r="B24" s="63"/>
      <c r="C24" s="63"/>
      <c r="D24" s="63"/>
      <c r="E24" s="63"/>
      <c r="F24" s="63"/>
    </row>
    <row r="25" customFormat="false" ht="15" hidden="false" customHeight="false" outlineLevel="0" collapsed="false">
      <c r="A25" s="62"/>
      <c r="B25" s="63"/>
      <c r="C25" s="63"/>
      <c r="D25" s="63"/>
      <c r="E25" s="63"/>
      <c r="F25" s="63"/>
    </row>
    <row r="26" customFormat="false" ht="15" hidden="false" customHeight="false" outlineLevel="0" collapsed="false">
      <c r="A26" s="62"/>
      <c r="B26" s="63"/>
      <c r="C26" s="63"/>
      <c r="D26" s="63"/>
      <c r="E26" s="63"/>
      <c r="F26" s="63"/>
    </row>
    <row r="27" customFormat="false" ht="15" hidden="false" customHeight="false" outlineLevel="0" collapsed="false">
      <c r="A27" s="62"/>
      <c r="B27" s="63"/>
      <c r="C27" s="63"/>
      <c r="D27" s="63"/>
      <c r="E27" s="63"/>
      <c r="F27" s="63"/>
    </row>
    <row r="28" customFormat="false" ht="15" hidden="false" customHeight="false" outlineLevel="0" collapsed="false">
      <c r="A28" s="62"/>
      <c r="B28" s="63"/>
      <c r="C28" s="63"/>
      <c r="D28" s="63"/>
      <c r="E28" s="63"/>
      <c r="F28" s="63"/>
    </row>
    <row r="29" customFormat="false" ht="15" hidden="false" customHeight="false" outlineLevel="0" collapsed="false">
      <c r="A29" s="62"/>
      <c r="B29" s="63"/>
      <c r="C29" s="63"/>
      <c r="D29" s="63"/>
      <c r="E29" s="63"/>
      <c r="F29" s="63"/>
    </row>
    <row r="30" customFormat="false" ht="15" hidden="false" customHeight="false" outlineLevel="0" collapsed="false">
      <c r="A30" s="62"/>
      <c r="B30" s="63"/>
      <c r="C30" s="63"/>
      <c r="D30" s="63"/>
      <c r="E30" s="63"/>
      <c r="F30" s="63"/>
    </row>
    <row r="31" customFormat="false" ht="15" hidden="false" customHeight="false" outlineLevel="0" collapsed="false">
      <c r="A31" s="62"/>
      <c r="B31" s="63"/>
      <c r="C31" s="63"/>
      <c r="D31" s="63"/>
      <c r="E31" s="63"/>
      <c r="F31" s="63"/>
    </row>
    <row r="32" customFormat="false" ht="15" hidden="false" customHeight="false" outlineLevel="0" collapsed="false">
      <c r="A32" s="62"/>
      <c r="B32" s="63"/>
      <c r="C32" s="63"/>
      <c r="D32" s="63"/>
      <c r="E32" s="63"/>
      <c r="F32" s="63"/>
    </row>
    <row r="33" customFormat="false" ht="15" hidden="false" customHeight="false" outlineLevel="0" collapsed="false">
      <c r="A33" s="62"/>
      <c r="B33" s="63"/>
      <c r="C33" s="63"/>
      <c r="D33" s="63"/>
      <c r="E33" s="63"/>
      <c r="F33" s="63"/>
    </row>
    <row r="34" customFormat="false" ht="15" hidden="false" customHeight="false" outlineLevel="0" collapsed="false">
      <c r="A34" s="62"/>
      <c r="B34" s="63"/>
      <c r="C34" s="63"/>
      <c r="D34" s="63"/>
      <c r="E34" s="63"/>
      <c r="F34" s="63"/>
    </row>
    <row r="35" customFormat="false" ht="15" hidden="false" customHeight="false" outlineLevel="0" collapsed="false">
      <c r="A35" s="62"/>
      <c r="B35" s="63"/>
      <c r="C35" s="63"/>
      <c r="D35" s="63"/>
      <c r="E35" s="63"/>
      <c r="F35" s="63"/>
    </row>
    <row r="36" customFormat="false" ht="15" hidden="false" customHeight="false" outlineLevel="0" collapsed="false">
      <c r="A36" s="62"/>
      <c r="B36" s="63"/>
      <c r="C36" s="63"/>
      <c r="D36" s="63"/>
      <c r="E36" s="63"/>
      <c r="F36" s="63"/>
    </row>
    <row r="37" customFormat="false" ht="15" hidden="false" customHeight="false" outlineLevel="0" collapsed="false">
      <c r="A37" s="62"/>
      <c r="B37" s="63"/>
      <c r="C37" s="63"/>
      <c r="D37" s="63"/>
      <c r="E37" s="63"/>
      <c r="F37" s="63"/>
    </row>
    <row r="38" customFormat="false" ht="15" hidden="false" customHeight="false" outlineLevel="0" collapsed="false">
      <c r="A38" s="62"/>
      <c r="B38" s="63"/>
      <c r="C38" s="63"/>
      <c r="D38" s="63"/>
      <c r="E38" s="63"/>
      <c r="F38" s="63"/>
    </row>
    <row r="39" customFormat="false" ht="15" hidden="false" customHeight="false" outlineLevel="0" collapsed="false">
      <c r="A39" s="62"/>
      <c r="B39" s="63"/>
      <c r="C39" s="63"/>
      <c r="D39" s="63"/>
      <c r="E39" s="63"/>
      <c r="F39" s="63"/>
    </row>
    <row r="40" customFormat="false" ht="15" hidden="false" customHeight="false" outlineLevel="0" collapsed="false">
      <c r="A40" s="62"/>
      <c r="B40" s="63"/>
      <c r="C40" s="63"/>
      <c r="D40" s="63"/>
      <c r="E40" s="63"/>
      <c r="F40" s="63"/>
    </row>
    <row r="41" customFormat="false" ht="15" hidden="false" customHeight="false" outlineLevel="0" collapsed="false">
      <c r="A41" s="62"/>
      <c r="B41" s="63"/>
      <c r="C41" s="63"/>
      <c r="D41" s="63"/>
      <c r="E41" s="63"/>
      <c r="F41" s="63"/>
    </row>
    <row r="42" customFormat="false" ht="15" hidden="false" customHeight="false" outlineLevel="0" collapsed="false">
      <c r="A42" s="62"/>
      <c r="B42" s="63"/>
      <c r="C42" s="63"/>
      <c r="D42" s="63"/>
      <c r="E42" s="63"/>
      <c r="F42" s="63"/>
    </row>
    <row r="43" customFormat="false" ht="15" hidden="false" customHeight="false" outlineLevel="0" collapsed="false">
      <c r="A43" s="62"/>
      <c r="B43" s="63"/>
      <c r="C43" s="63"/>
      <c r="D43" s="63"/>
      <c r="E43" s="63"/>
      <c r="F43" s="63"/>
    </row>
    <row r="44" customFormat="false" ht="15" hidden="false" customHeight="false" outlineLevel="0" collapsed="false">
      <c r="A44" s="62"/>
      <c r="B44" s="63"/>
      <c r="C44" s="63"/>
      <c r="D44" s="63"/>
      <c r="E44" s="63"/>
      <c r="F44" s="63"/>
    </row>
    <row r="45" customFormat="false" ht="15" hidden="false" customHeight="false" outlineLevel="0" collapsed="false">
      <c r="A45" s="62"/>
      <c r="B45" s="63"/>
      <c r="C45" s="63"/>
      <c r="D45" s="63"/>
      <c r="E45" s="63"/>
      <c r="F45" s="63"/>
    </row>
    <row r="46" customFormat="false" ht="15" hidden="false" customHeight="false" outlineLevel="0" collapsed="false">
      <c r="A46" s="62"/>
      <c r="B46" s="63"/>
      <c r="C46" s="63"/>
      <c r="D46" s="63"/>
      <c r="E46" s="63"/>
      <c r="F46" s="63"/>
    </row>
    <row r="47" customFormat="false" ht="15" hidden="false" customHeight="false" outlineLevel="0" collapsed="false">
      <c r="A47" s="62"/>
      <c r="B47" s="63"/>
      <c r="C47" s="63"/>
      <c r="D47" s="63"/>
      <c r="E47" s="63"/>
      <c r="F47" s="63"/>
    </row>
    <row r="48" customFormat="false" ht="15" hidden="false" customHeight="false" outlineLevel="0" collapsed="false">
      <c r="A48" s="62"/>
      <c r="B48" s="63"/>
      <c r="C48" s="63"/>
      <c r="D48" s="63"/>
      <c r="E48" s="63"/>
      <c r="F48" s="63"/>
    </row>
    <row r="49" customFormat="false" ht="15" hidden="false" customHeight="false" outlineLevel="0" collapsed="false">
      <c r="A49" s="62"/>
      <c r="B49" s="63"/>
      <c r="C49" s="63"/>
      <c r="D49" s="63"/>
      <c r="E49" s="63"/>
      <c r="F49" s="63"/>
    </row>
    <row r="50" customFormat="false" ht="15" hidden="false" customHeight="false" outlineLevel="0" collapsed="false">
      <c r="A50" s="62"/>
      <c r="B50" s="63"/>
      <c r="C50" s="63"/>
      <c r="D50" s="63"/>
      <c r="E50" s="63"/>
      <c r="F50" s="63"/>
    </row>
    <row r="51" customFormat="false" ht="15" hidden="false" customHeight="false" outlineLevel="0" collapsed="false">
      <c r="A51" s="62"/>
      <c r="B51" s="63"/>
      <c r="C51" s="63"/>
      <c r="D51" s="63"/>
      <c r="E51" s="63"/>
      <c r="F51" s="63"/>
    </row>
    <row r="52" customFormat="false" ht="15" hidden="false" customHeight="false" outlineLevel="0" collapsed="false">
      <c r="A52" s="62"/>
      <c r="B52" s="63"/>
      <c r="C52" s="63"/>
      <c r="D52" s="63"/>
      <c r="E52" s="63"/>
      <c r="F52" s="63"/>
    </row>
    <row r="53" customFormat="false" ht="15" hidden="false" customHeight="false" outlineLevel="0" collapsed="false">
      <c r="A53" s="62"/>
      <c r="B53" s="63"/>
      <c r="C53" s="63"/>
      <c r="D53" s="63"/>
      <c r="E53" s="63"/>
      <c r="F53" s="63"/>
    </row>
    <row r="54" customFormat="false" ht="15" hidden="false" customHeight="false" outlineLevel="0" collapsed="false">
      <c r="A54" s="62"/>
      <c r="B54" s="63"/>
      <c r="C54" s="63"/>
      <c r="D54" s="63"/>
      <c r="E54" s="63"/>
      <c r="F54" s="63"/>
    </row>
    <row r="55" customFormat="false" ht="15" hidden="false" customHeight="false" outlineLevel="0" collapsed="false">
      <c r="A55" s="62"/>
      <c r="B55" s="63"/>
      <c r="C55" s="63"/>
      <c r="D55" s="63"/>
      <c r="E55" s="63"/>
      <c r="F55" s="63"/>
    </row>
    <row r="56" customFormat="false" ht="15" hidden="false" customHeight="false" outlineLevel="0" collapsed="false">
      <c r="A56" s="62"/>
      <c r="B56" s="63"/>
      <c r="C56" s="63"/>
      <c r="D56" s="63"/>
      <c r="E56" s="63"/>
      <c r="F56" s="63"/>
    </row>
    <row r="57" customFormat="false" ht="15" hidden="false" customHeight="false" outlineLevel="0" collapsed="false">
      <c r="A57" s="62"/>
      <c r="B57" s="63"/>
      <c r="C57" s="63"/>
      <c r="D57" s="63"/>
      <c r="E57" s="63"/>
      <c r="F57" s="63"/>
    </row>
    <row r="58" customFormat="false" ht="15" hidden="false" customHeight="false" outlineLevel="0" collapsed="false">
      <c r="A58" s="62"/>
      <c r="B58" s="63"/>
      <c r="C58" s="63"/>
      <c r="D58" s="63"/>
      <c r="E58" s="63"/>
      <c r="F58" s="63"/>
    </row>
    <row r="59" customFormat="false" ht="15" hidden="false" customHeight="false" outlineLevel="0" collapsed="false">
      <c r="A59" s="62"/>
      <c r="B59" s="63"/>
      <c r="C59" s="63"/>
      <c r="D59" s="63"/>
      <c r="E59" s="63"/>
      <c r="F59" s="63"/>
    </row>
    <row r="60" customFormat="false" ht="15" hidden="false" customHeight="false" outlineLevel="0" collapsed="false">
      <c r="A60" s="62"/>
      <c r="B60" s="63"/>
      <c r="C60" s="63"/>
      <c r="D60" s="63"/>
      <c r="E60" s="63"/>
      <c r="F60" s="63"/>
    </row>
    <row r="61" customFormat="false" ht="15" hidden="false" customHeight="false" outlineLevel="0" collapsed="false">
      <c r="A61" s="62"/>
      <c r="B61" s="63"/>
      <c r="C61" s="63"/>
      <c r="D61" s="63"/>
      <c r="E61" s="63"/>
      <c r="F61" s="63"/>
    </row>
    <row r="62" customFormat="false" ht="15" hidden="false" customHeight="false" outlineLevel="0" collapsed="false">
      <c r="A62" s="62"/>
      <c r="B62" s="63"/>
      <c r="C62" s="63"/>
      <c r="D62" s="63"/>
      <c r="E62" s="63"/>
      <c r="F62" s="63"/>
    </row>
    <row r="63" customFormat="false" ht="15" hidden="false" customHeight="false" outlineLevel="0" collapsed="false">
      <c r="A63" s="62"/>
      <c r="B63" s="63"/>
      <c r="C63" s="63"/>
      <c r="D63" s="63"/>
      <c r="E63" s="63"/>
      <c r="F63" s="63"/>
    </row>
    <row r="64" customFormat="false" ht="15" hidden="false" customHeight="false" outlineLevel="0" collapsed="false">
      <c r="A64" s="62"/>
      <c r="B64" s="63"/>
      <c r="C64" s="63"/>
      <c r="D64" s="63"/>
      <c r="E64" s="63"/>
      <c r="F64" s="63"/>
    </row>
    <row r="65" customFormat="false" ht="15" hidden="false" customHeight="false" outlineLevel="0" collapsed="false">
      <c r="A65" s="62"/>
      <c r="B65" s="63"/>
      <c r="C65" s="63"/>
      <c r="D65" s="63"/>
      <c r="E65" s="63"/>
      <c r="F65" s="63"/>
    </row>
    <row r="66" customFormat="false" ht="15" hidden="false" customHeight="false" outlineLevel="0" collapsed="false">
      <c r="A66" s="62"/>
      <c r="B66" s="63"/>
      <c r="C66" s="63"/>
      <c r="D66" s="63"/>
      <c r="E66" s="63"/>
      <c r="F66" s="63"/>
    </row>
    <row r="67" customFormat="false" ht="15" hidden="false" customHeight="false" outlineLevel="0" collapsed="false">
      <c r="A67" s="62"/>
      <c r="B67" s="63"/>
      <c r="C67" s="63"/>
      <c r="D67" s="63"/>
      <c r="E67" s="63"/>
      <c r="F67" s="63"/>
    </row>
    <row r="68" customFormat="false" ht="15" hidden="false" customHeight="false" outlineLevel="0" collapsed="false">
      <c r="A68" s="62"/>
      <c r="B68" s="63"/>
      <c r="C68" s="63"/>
      <c r="D68" s="63"/>
      <c r="E68" s="63"/>
      <c r="F68" s="63"/>
    </row>
    <row r="69" customFormat="false" ht="15" hidden="false" customHeight="false" outlineLevel="0" collapsed="false">
      <c r="A69" s="62"/>
      <c r="B69" s="63"/>
      <c r="C69" s="63"/>
      <c r="D69" s="63"/>
      <c r="E69" s="63"/>
      <c r="F69" s="63"/>
    </row>
    <row r="70" customFormat="false" ht="15" hidden="false" customHeight="false" outlineLevel="0" collapsed="false">
      <c r="A70" s="62"/>
      <c r="B70" s="63"/>
      <c r="C70" s="63"/>
      <c r="D70" s="63"/>
      <c r="E70" s="63"/>
      <c r="F70" s="63"/>
    </row>
    <row r="71" customFormat="false" ht="15" hidden="false" customHeight="false" outlineLevel="0" collapsed="false">
      <c r="A71" s="62"/>
      <c r="B71" s="63"/>
      <c r="C71" s="63"/>
      <c r="D71" s="63"/>
      <c r="E71" s="63"/>
      <c r="F71" s="63"/>
    </row>
    <row r="72" customFormat="false" ht="15" hidden="false" customHeight="false" outlineLevel="0" collapsed="false">
      <c r="A72" s="62"/>
      <c r="B72" s="63"/>
      <c r="C72" s="63"/>
      <c r="D72" s="63"/>
      <c r="E72" s="63"/>
      <c r="F72" s="63"/>
    </row>
    <row r="73" customFormat="false" ht="15" hidden="false" customHeight="false" outlineLevel="0" collapsed="false">
      <c r="A73" s="62"/>
      <c r="B73" s="63"/>
      <c r="C73" s="63"/>
      <c r="D73" s="63"/>
      <c r="E73" s="63"/>
      <c r="F73" s="63"/>
    </row>
    <row r="74" customFormat="false" ht="15" hidden="false" customHeight="false" outlineLevel="0" collapsed="false">
      <c r="A74" s="62"/>
      <c r="B74" s="63"/>
      <c r="C74" s="63"/>
      <c r="D74" s="63"/>
      <c r="E74" s="63"/>
      <c r="F74" s="63"/>
    </row>
    <row r="75" customFormat="false" ht="15" hidden="false" customHeight="false" outlineLevel="0" collapsed="false">
      <c r="A75" s="62"/>
      <c r="B75" s="63"/>
      <c r="C75" s="63"/>
      <c r="D75" s="63"/>
      <c r="E75" s="63"/>
      <c r="F75" s="63"/>
    </row>
    <row r="76" customFormat="false" ht="15" hidden="false" customHeight="false" outlineLevel="0" collapsed="false">
      <c r="A76" s="62"/>
      <c r="B76" s="63"/>
      <c r="C76" s="63"/>
      <c r="D76" s="63"/>
      <c r="E76" s="63"/>
      <c r="F76" s="63"/>
    </row>
    <row r="77" customFormat="false" ht="15" hidden="false" customHeight="false" outlineLevel="0" collapsed="false">
      <c r="A77" s="62"/>
      <c r="B77" s="63"/>
      <c r="C77" s="63"/>
      <c r="D77" s="63"/>
      <c r="E77" s="63"/>
      <c r="F77" s="63"/>
    </row>
    <row r="78" customFormat="false" ht="15" hidden="false" customHeight="false" outlineLevel="0" collapsed="false">
      <c r="A78" s="62"/>
      <c r="B78" s="63"/>
      <c r="C78" s="63"/>
      <c r="D78" s="63"/>
      <c r="E78" s="63"/>
      <c r="F78" s="63"/>
    </row>
    <row r="79" customFormat="false" ht="15" hidden="false" customHeight="false" outlineLevel="0" collapsed="false">
      <c r="A79" s="62"/>
      <c r="B79" s="63"/>
      <c r="C79" s="63"/>
      <c r="D79" s="63"/>
      <c r="E79" s="63"/>
      <c r="F79" s="63"/>
    </row>
    <row r="80" customFormat="false" ht="15" hidden="false" customHeight="false" outlineLevel="0" collapsed="false">
      <c r="A80" s="62"/>
      <c r="B80" s="63"/>
      <c r="C80" s="63"/>
      <c r="D80" s="63"/>
      <c r="E80" s="63"/>
      <c r="F80" s="63"/>
    </row>
    <row r="81" customFormat="false" ht="15" hidden="false" customHeight="false" outlineLevel="0" collapsed="false">
      <c r="A81" s="62"/>
      <c r="B81" s="63"/>
      <c r="C81" s="63"/>
      <c r="D81" s="63"/>
      <c r="E81" s="63"/>
      <c r="F81" s="63"/>
    </row>
    <row r="82" customFormat="false" ht="15" hidden="false" customHeight="false" outlineLevel="0" collapsed="false">
      <c r="A82" s="62"/>
      <c r="B82" s="63"/>
      <c r="C82" s="63"/>
      <c r="D82" s="63"/>
      <c r="E82" s="63"/>
      <c r="F82" s="63"/>
    </row>
    <row r="83" customFormat="false" ht="15" hidden="false" customHeight="false" outlineLevel="0" collapsed="false">
      <c r="A83" s="62"/>
      <c r="B83" s="63"/>
      <c r="C83" s="63"/>
      <c r="D83" s="63"/>
      <c r="E83" s="63"/>
      <c r="F83" s="63"/>
    </row>
    <row r="84" customFormat="false" ht="15" hidden="false" customHeight="false" outlineLevel="0" collapsed="false">
      <c r="A84" s="62"/>
      <c r="B84" s="63"/>
      <c r="C84" s="63"/>
      <c r="D84" s="63"/>
      <c r="E84" s="63"/>
      <c r="F84" s="63"/>
    </row>
    <row r="85" customFormat="false" ht="15" hidden="false" customHeight="false" outlineLevel="0" collapsed="false">
      <c r="A85" s="62"/>
      <c r="B85" s="63"/>
      <c r="C85" s="63"/>
      <c r="D85" s="63"/>
      <c r="E85" s="63"/>
      <c r="F85" s="63"/>
    </row>
    <row r="86" customFormat="false" ht="15" hidden="false" customHeight="false" outlineLevel="0" collapsed="false">
      <c r="A86" s="62"/>
      <c r="B86" s="63"/>
      <c r="C86" s="63"/>
      <c r="D86" s="63"/>
      <c r="E86" s="63"/>
      <c r="F86" s="63"/>
    </row>
    <row r="87" customFormat="false" ht="15" hidden="false" customHeight="false" outlineLevel="0" collapsed="false">
      <c r="A87" s="62"/>
      <c r="B87" s="63"/>
      <c r="C87" s="63"/>
      <c r="D87" s="63"/>
      <c r="E87" s="63"/>
      <c r="F87" s="63"/>
    </row>
    <row r="88" customFormat="false" ht="15" hidden="false" customHeight="false" outlineLevel="0" collapsed="false">
      <c r="A88" s="62"/>
      <c r="B88" s="63"/>
      <c r="C88" s="63"/>
      <c r="D88" s="63"/>
      <c r="E88" s="63"/>
      <c r="F88" s="63"/>
    </row>
    <row r="89" customFormat="false" ht="15" hidden="false" customHeight="false" outlineLevel="0" collapsed="false">
      <c r="A89" s="62"/>
      <c r="B89" s="63"/>
      <c r="C89" s="63"/>
      <c r="D89" s="63"/>
      <c r="E89" s="63"/>
      <c r="F89" s="63"/>
    </row>
    <row r="90" customFormat="false" ht="15" hidden="false" customHeight="false" outlineLevel="0" collapsed="false">
      <c r="A90" s="62"/>
      <c r="B90" s="63"/>
      <c r="C90" s="63"/>
      <c r="D90" s="63"/>
      <c r="E90" s="63"/>
      <c r="F90" s="63"/>
    </row>
    <row r="91" customFormat="false" ht="15" hidden="false" customHeight="false" outlineLevel="0" collapsed="false">
      <c r="A91" s="62"/>
      <c r="B91" s="63"/>
      <c r="C91" s="63"/>
      <c r="D91" s="63"/>
      <c r="E91" s="63"/>
      <c r="F91" s="63"/>
    </row>
    <row r="92" customFormat="false" ht="15" hidden="false" customHeight="false" outlineLevel="0" collapsed="false">
      <c r="A92" s="62"/>
      <c r="B92" s="63"/>
      <c r="C92" s="63"/>
      <c r="D92" s="63"/>
      <c r="E92" s="63"/>
      <c r="F92" s="63"/>
    </row>
    <row r="93" customFormat="false" ht="15" hidden="false" customHeight="false" outlineLevel="0" collapsed="false">
      <c r="A93" s="62"/>
      <c r="B93" s="63"/>
      <c r="C93" s="63"/>
      <c r="D93" s="63"/>
      <c r="E93" s="63"/>
      <c r="F93" s="63"/>
    </row>
    <row r="94" customFormat="false" ht="15" hidden="false" customHeight="false" outlineLevel="0" collapsed="false">
      <c r="A94" s="62"/>
      <c r="B94" s="63"/>
      <c r="C94" s="63"/>
      <c r="D94" s="63"/>
      <c r="E94" s="63"/>
      <c r="F94" s="63"/>
    </row>
    <row r="95" customFormat="false" ht="15" hidden="false" customHeight="false" outlineLevel="0" collapsed="false">
      <c r="A95" s="62"/>
      <c r="B95" s="63"/>
      <c r="C95" s="63"/>
      <c r="D95" s="63"/>
      <c r="E95" s="63"/>
      <c r="F95" s="63"/>
    </row>
    <row r="96" customFormat="false" ht="15" hidden="false" customHeight="false" outlineLevel="0" collapsed="false">
      <c r="A96" s="62"/>
      <c r="B96" s="63"/>
      <c r="C96" s="63"/>
      <c r="D96" s="63"/>
      <c r="E96" s="63"/>
      <c r="F96" s="63"/>
    </row>
    <row r="97" customFormat="false" ht="15" hidden="false" customHeight="false" outlineLevel="0" collapsed="false">
      <c r="A97" s="62"/>
      <c r="B97" s="63"/>
      <c r="C97" s="63"/>
      <c r="D97" s="63"/>
      <c r="E97" s="63"/>
      <c r="F97" s="63"/>
    </row>
    <row r="98" customFormat="false" ht="15" hidden="false" customHeight="false" outlineLevel="0" collapsed="false">
      <c r="A98" s="62"/>
      <c r="B98" s="63"/>
      <c r="C98" s="63"/>
      <c r="D98" s="63"/>
      <c r="E98" s="63"/>
      <c r="F98" s="63"/>
    </row>
    <row r="99" customFormat="false" ht="15" hidden="false" customHeight="false" outlineLevel="0" collapsed="false">
      <c r="A99" s="62"/>
      <c r="B99" s="63"/>
      <c r="C99" s="63"/>
      <c r="D99" s="63"/>
      <c r="E99" s="63"/>
      <c r="F99" s="63"/>
    </row>
    <row r="100" customFormat="false" ht="15" hidden="false" customHeight="false" outlineLevel="0" collapsed="false">
      <c r="A100" s="62"/>
      <c r="B100" s="63"/>
      <c r="C100" s="63"/>
      <c r="D100" s="63"/>
      <c r="E100" s="63"/>
      <c r="F100" s="63"/>
    </row>
    <row r="101" customFormat="false" ht="15" hidden="false" customHeight="false" outlineLevel="0" collapsed="false">
      <c r="A101" s="62"/>
      <c r="B101" s="63"/>
      <c r="C101" s="63"/>
      <c r="D101" s="63"/>
      <c r="E101" s="63"/>
      <c r="F101" s="63"/>
    </row>
    <row r="102" customFormat="false" ht="15" hidden="false" customHeight="false" outlineLevel="0" collapsed="false">
      <c r="A102" s="62"/>
      <c r="B102" s="63"/>
      <c r="C102" s="63"/>
      <c r="D102" s="63"/>
      <c r="E102" s="63"/>
      <c r="F102" s="63"/>
    </row>
    <row r="103" customFormat="false" ht="15" hidden="false" customHeight="false" outlineLevel="0" collapsed="false">
      <c r="A103" s="62"/>
      <c r="B103" s="63"/>
      <c r="C103" s="63"/>
      <c r="D103" s="63"/>
      <c r="E103" s="63"/>
      <c r="F103" s="63"/>
    </row>
    <row r="104" customFormat="false" ht="15" hidden="false" customHeight="false" outlineLevel="0" collapsed="false">
      <c r="A104" s="62"/>
      <c r="B104" s="63"/>
      <c r="C104" s="63"/>
      <c r="D104" s="63"/>
      <c r="E104" s="63"/>
      <c r="F104" s="63"/>
    </row>
    <row r="105" customFormat="false" ht="15" hidden="false" customHeight="false" outlineLevel="0" collapsed="false">
      <c r="A105" s="62"/>
      <c r="B105" s="63"/>
      <c r="C105" s="63"/>
      <c r="D105" s="63"/>
      <c r="E105" s="63"/>
      <c r="F105" s="63"/>
    </row>
    <row r="106" customFormat="false" ht="15" hidden="false" customHeight="false" outlineLevel="0" collapsed="false">
      <c r="A106" s="62"/>
      <c r="B106" s="63"/>
      <c r="C106" s="63"/>
      <c r="D106" s="63"/>
      <c r="E106" s="63"/>
      <c r="F106" s="63"/>
    </row>
    <row r="107" customFormat="false" ht="15" hidden="false" customHeight="false" outlineLevel="0" collapsed="false">
      <c r="A107" s="62"/>
      <c r="B107" s="63"/>
      <c r="C107" s="63"/>
      <c r="D107" s="63"/>
      <c r="E107" s="63"/>
      <c r="F107" s="63"/>
    </row>
    <row r="108" customFormat="false" ht="15" hidden="false" customHeight="false" outlineLevel="0" collapsed="false">
      <c r="A108" s="62"/>
      <c r="B108" s="63"/>
      <c r="C108" s="63"/>
      <c r="D108" s="63"/>
      <c r="E108" s="63"/>
      <c r="F108" s="63"/>
    </row>
    <row r="109" customFormat="false" ht="15" hidden="false" customHeight="false" outlineLevel="0" collapsed="false">
      <c r="A109" s="62"/>
      <c r="B109" s="63"/>
      <c r="C109" s="63"/>
      <c r="D109" s="63"/>
      <c r="E109" s="63"/>
      <c r="F109" s="63"/>
    </row>
    <row r="110" customFormat="false" ht="15" hidden="false" customHeight="false" outlineLevel="0" collapsed="false">
      <c r="A110" s="62"/>
      <c r="B110" s="63"/>
      <c r="C110" s="63"/>
      <c r="D110" s="63"/>
      <c r="E110" s="63"/>
      <c r="F110" s="63"/>
    </row>
    <row r="111" customFormat="false" ht="15" hidden="false" customHeight="false" outlineLevel="0" collapsed="false">
      <c r="A111" s="62"/>
      <c r="B111" s="63"/>
      <c r="C111" s="63"/>
      <c r="D111" s="63"/>
      <c r="E111" s="63"/>
      <c r="F111" s="63"/>
    </row>
    <row r="112" customFormat="false" ht="15" hidden="false" customHeight="false" outlineLevel="0" collapsed="false">
      <c r="A112" s="62"/>
      <c r="B112" s="63"/>
      <c r="C112" s="63"/>
      <c r="D112" s="63"/>
      <c r="E112" s="63"/>
      <c r="F112" s="63"/>
    </row>
    <row r="113" customFormat="false" ht="15" hidden="false" customHeight="false" outlineLevel="0" collapsed="false">
      <c r="A113" s="62"/>
      <c r="B113" s="63"/>
      <c r="C113" s="63"/>
      <c r="D113" s="63"/>
      <c r="E113" s="63"/>
      <c r="F113" s="63"/>
    </row>
    <row r="114" customFormat="false" ht="15" hidden="false" customHeight="false" outlineLevel="0" collapsed="false">
      <c r="A114" s="62"/>
      <c r="B114" s="63"/>
      <c r="C114" s="63"/>
      <c r="D114" s="63"/>
      <c r="E114" s="63"/>
      <c r="F114" s="63"/>
    </row>
    <row r="115" customFormat="false" ht="15" hidden="false" customHeight="false" outlineLevel="0" collapsed="false">
      <c r="A115" s="62"/>
      <c r="B115" s="63"/>
      <c r="C115" s="63"/>
      <c r="D115" s="63"/>
      <c r="E115" s="63"/>
      <c r="F115" s="63"/>
    </row>
    <row r="116" customFormat="false" ht="15" hidden="false" customHeight="false" outlineLevel="0" collapsed="false">
      <c r="A116" s="62"/>
      <c r="B116" s="63"/>
      <c r="C116" s="63"/>
      <c r="D116" s="63"/>
      <c r="E116" s="63"/>
      <c r="F116" s="63"/>
    </row>
    <row r="117" customFormat="false" ht="15" hidden="false" customHeight="false" outlineLevel="0" collapsed="false">
      <c r="A117" s="62"/>
      <c r="B117" s="63"/>
      <c r="C117" s="63"/>
      <c r="D117" s="63"/>
      <c r="E117" s="63"/>
      <c r="F117" s="63"/>
    </row>
    <row r="118" customFormat="false" ht="15" hidden="false" customHeight="false" outlineLevel="0" collapsed="false">
      <c r="A118" s="62"/>
      <c r="B118" s="63"/>
      <c r="C118" s="63"/>
      <c r="D118" s="63"/>
      <c r="E118" s="63"/>
      <c r="F118" s="63"/>
    </row>
    <row r="119" customFormat="false" ht="15" hidden="false" customHeight="false" outlineLevel="0" collapsed="false">
      <c r="A119" s="62"/>
      <c r="B119" s="63"/>
      <c r="C119" s="63"/>
      <c r="D119" s="63"/>
      <c r="E119" s="63"/>
      <c r="F119" s="63"/>
    </row>
    <row r="120" customFormat="false" ht="15" hidden="false" customHeight="false" outlineLevel="0" collapsed="false">
      <c r="A120" s="62"/>
      <c r="B120" s="63"/>
      <c r="C120" s="63"/>
      <c r="D120" s="63"/>
      <c r="E120" s="63"/>
      <c r="F120" s="63"/>
    </row>
    <row r="121" customFormat="false" ht="15" hidden="false" customHeight="false" outlineLevel="0" collapsed="false">
      <c r="A121" s="62"/>
      <c r="B121" s="63"/>
      <c r="C121" s="63"/>
      <c r="D121" s="63"/>
      <c r="E121" s="63"/>
      <c r="F121" s="63"/>
    </row>
    <row r="122" customFormat="false" ht="15" hidden="false" customHeight="false" outlineLevel="0" collapsed="false">
      <c r="A122" s="62"/>
      <c r="B122" s="63"/>
      <c r="C122" s="63"/>
      <c r="D122" s="63"/>
      <c r="E122" s="63"/>
      <c r="F122" s="63"/>
    </row>
    <row r="123" customFormat="false" ht="15" hidden="false" customHeight="false" outlineLevel="0" collapsed="false">
      <c r="A123" s="62"/>
      <c r="B123" s="63"/>
      <c r="C123" s="63"/>
      <c r="D123" s="63"/>
      <c r="E123" s="63"/>
      <c r="F123" s="63"/>
    </row>
    <row r="124" customFormat="false" ht="15" hidden="false" customHeight="false" outlineLevel="0" collapsed="false">
      <c r="A124" s="62"/>
      <c r="B124" s="63"/>
      <c r="C124" s="63"/>
      <c r="D124" s="63"/>
      <c r="E124" s="63"/>
      <c r="F124" s="63"/>
    </row>
    <row r="125" customFormat="false" ht="15" hidden="false" customHeight="false" outlineLevel="0" collapsed="false">
      <c r="A125" s="62"/>
      <c r="B125" s="63"/>
      <c r="C125" s="63"/>
      <c r="D125" s="63"/>
      <c r="E125" s="63"/>
      <c r="F125" s="63"/>
    </row>
    <row r="126" customFormat="false" ht="15" hidden="false" customHeight="false" outlineLevel="0" collapsed="false">
      <c r="A126" s="62"/>
      <c r="B126" s="63"/>
      <c r="C126" s="63"/>
      <c r="D126" s="63"/>
      <c r="E126" s="63"/>
      <c r="F126" s="63"/>
    </row>
    <row r="127" customFormat="false" ht="15" hidden="false" customHeight="false" outlineLevel="0" collapsed="false">
      <c r="A127" s="62"/>
      <c r="B127" s="63"/>
      <c r="C127" s="63"/>
      <c r="D127" s="63"/>
      <c r="E127" s="63"/>
      <c r="F127" s="63"/>
    </row>
    <row r="128" customFormat="false" ht="15" hidden="false" customHeight="false" outlineLevel="0" collapsed="false">
      <c r="A128" s="62"/>
      <c r="B128" s="63"/>
      <c r="C128" s="63"/>
      <c r="D128" s="63"/>
      <c r="E128" s="63"/>
      <c r="F128" s="63"/>
    </row>
    <row r="129" customFormat="false" ht="15" hidden="false" customHeight="false" outlineLevel="0" collapsed="false">
      <c r="A129" s="62"/>
      <c r="B129" s="63"/>
      <c r="C129" s="63"/>
      <c r="D129" s="63"/>
      <c r="E129" s="63"/>
      <c r="F129" s="63"/>
    </row>
    <row r="130" customFormat="false" ht="15" hidden="false" customHeight="false" outlineLevel="0" collapsed="false">
      <c r="A130" s="62"/>
      <c r="B130" s="63"/>
      <c r="C130" s="63"/>
      <c r="D130" s="63"/>
      <c r="E130" s="63"/>
      <c r="F130" s="63"/>
    </row>
    <row r="131" customFormat="false" ht="15" hidden="false" customHeight="false" outlineLevel="0" collapsed="false">
      <c r="A131" s="62"/>
      <c r="B131" s="63"/>
      <c r="C131" s="63"/>
      <c r="D131" s="63"/>
      <c r="E131" s="63"/>
      <c r="F131" s="63"/>
    </row>
    <row r="132" customFormat="false" ht="15" hidden="false" customHeight="false" outlineLevel="0" collapsed="false">
      <c r="A132" s="62"/>
      <c r="B132" s="63"/>
      <c r="C132" s="63"/>
      <c r="D132" s="63"/>
      <c r="E132" s="63"/>
      <c r="F132" s="63"/>
    </row>
    <row r="133" customFormat="false" ht="15" hidden="false" customHeight="false" outlineLevel="0" collapsed="false">
      <c r="A133" s="62"/>
      <c r="B133" s="63"/>
      <c r="C133" s="63"/>
      <c r="D133" s="63"/>
      <c r="E133" s="63"/>
      <c r="F133" s="63"/>
    </row>
    <row r="134" customFormat="false" ht="15" hidden="false" customHeight="false" outlineLevel="0" collapsed="false">
      <c r="A134" s="62"/>
      <c r="B134" s="63"/>
      <c r="C134" s="63"/>
      <c r="D134" s="63"/>
      <c r="E134" s="63"/>
      <c r="F134" s="63"/>
    </row>
    <row r="135" customFormat="false" ht="15" hidden="false" customHeight="false" outlineLevel="0" collapsed="false">
      <c r="A135" s="62"/>
      <c r="B135" s="63"/>
      <c r="C135" s="63"/>
      <c r="D135" s="63"/>
      <c r="E135" s="63"/>
      <c r="F135" s="63"/>
    </row>
    <row r="136" customFormat="false" ht="15" hidden="false" customHeight="false" outlineLevel="0" collapsed="false">
      <c r="A136" s="62"/>
      <c r="B136" s="63"/>
      <c r="C136" s="63"/>
      <c r="D136" s="63"/>
      <c r="E136" s="63"/>
      <c r="F136" s="63"/>
    </row>
    <row r="137" customFormat="false" ht="15" hidden="false" customHeight="false" outlineLevel="0" collapsed="false">
      <c r="A137" s="62"/>
      <c r="B137" s="63"/>
      <c r="C137" s="63"/>
      <c r="D137" s="63"/>
      <c r="E137" s="63"/>
      <c r="F137" s="63"/>
    </row>
    <row r="138" customFormat="false" ht="15" hidden="false" customHeight="false" outlineLevel="0" collapsed="false">
      <c r="A138" s="62"/>
      <c r="B138" s="63"/>
      <c r="C138" s="63"/>
      <c r="D138" s="63"/>
      <c r="E138" s="63"/>
      <c r="F138" s="63"/>
    </row>
    <row r="139" customFormat="false" ht="15" hidden="false" customHeight="false" outlineLevel="0" collapsed="false">
      <c r="A139" s="62"/>
      <c r="B139" s="63"/>
      <c r="C139" s="63"/>
      <c r="D139" s="63"/>
      <c r="E139" s="63"/>
      <c r="F139" s="63"/>
    </row>
    <row r="140" customFormat="false" ht="15" hidden="false" customHeight="false" outlineLevel="0" collapsed="false">
      <c r="A140" s="62"/>
      <c r="B140" s="63"/>
      <c r="C140" s="63"/>
      <c r="D140" s="63"/>
      <c r="E140" s="63"/>
      <c r="F140" s="63"/>
    </row>
    <row r="141" customFormat="false" ht="15" hidden="false" customHeight="false" outlineLevel="0" collapsed="false">
      <c r="A141" s="62"/>
      <c r="B141" s="63"/>
      <c r="C141" s="63"/>
      <c r="D141" s="63"/>
      <c r="E141" s="63"/>
      <c r="F141" s="63"/>
    </row>
    <row r="142" customFormat="false" ht="15" hidden="false" customHeight="false" outlineLevel="0" collapsed="false">
      <c r="A142" s="62"/>
      <c r="B142" s="63"/>
      <c r="C142" s="63"/>
      <c r="D142" s="63"/>
      <c r="E142" s="63"/>
      <c r="F142" s="63"/>
    </row>
    <row r="143" customFormat="false" ht="15" hidden="false" customHeight="false" outlineLevel="0" collapsed="false">
      <c r="A143" s="62"/>
      <c r="B143" s="63"/>
      <c r="C143" s="63"/>
      <c r="D143" s="63"/>
      <c r="E143" s="63"/>
      <c r="F143" s="63"/>
    </row>
    <row r="144" customFormat="false" ht="15" hidden="false" customHeight="false" outlineLevel="0" collapsed="false">
      <c r="A144" s="62"/>
      <c r="B144" s="63"/>
      <c r="C144" s="63"/>
      <c r="D144" s="63"/>
      <c r="E144" s="63"/>
      <c r="F144" s="63"/>
    </row>
    <row r="145" customFormat="false" ht="15" hidden="false" customHeight="false" outlineLevel="0" collapsed="false">
      <c r="A145" s="62"/>
      <c r="B145" s="63"/>
      <c r="C145" s="63"/>
      <c r="D145" s="63"/>
      <c r="E145" s="63"/>
      <c r="F145" s="63"/>
    </row>
    <row r="146" customFormat="false" ht="15" hidden="false" customHeight="false" outlineLevel="0" collapsed="false">
      <c r="A146" s="62"/>
      <c r="B146" s="63"/>
      <c r="C146" s="63"/>
      <c r="D146" s="63"/>
      <c r="E146" s="63"/>
      <c r="F146" s="63"/>
    </row>
    <row r="147" customFormat="false" ht="15" hidden="false" customHeight="false" outlineLevel="0" collapsed="false">
      <c r="A147" s="62"/>
      <c r="B147" s="63"/>
      <c r="C147" s="63"/>
      <c r="D147" s="63"/>
      <c r="E147" s="63"/>
      <c r="F147" s="63"/>
    </row>
    <row r="148" customFormat="false" ht="15" hidden="false" customHeight="false" outlineLevel="0" collapsed="false">
      <c r="A148" s="62"/>
      <c r="B148" s="63"/>
      <c r="C148" s="63"/>
      <c r="D148" s="63"/>
      <c r="E148" s="63"/>
      <c r="F148" s="63"/>
    </row>
    <row r="149" customFormat="false" ht="15" hidden="false" customHeight="false" outlineLevel="0" collapsed="false">
      <c r="A149" s="62"/>
      <c r="B149" s="63"/>
      <c r="C149" s="63"/>
      <c r="D149" s="63"/>
      <c r="E149" s="63"/>
      <c r="F149" s="63"/>
    </row>
    <row r="150" customFormat="false" ht="15" hidden="false" customHeight="false" outlineLevel="0" collapsed="false">
      <c r="A150" s="62"/>
      <c r="B150" s="63"/>
      <c r="C150" s="63"/>
      <c r="D150" s="63"/>
      <c r="E150" s="63"/>
      <c r="F150" s="63"/>
    </row>
    <row r="151" customFormat="false" ht="15" hidden="false" customHeight="false" outlineLevel="0" collapsed="false">
      <c r="A151" s="62"/>
      <c r="B151" s="63"/>
      <c r="C151" s="63"/>
      <c r="D151" s="63"/>
      <c r="E151" s="63"/>
      <c r="F151" s="63"/>
    </row>
    <row r="152" customFormat="false" ht="15" hidden="false" customHeight="false" outlineLevel="0" collapsed="false">
      <c r="A152" s="62"/>
      <c r="B152" s="63"/>
      <c r="C152" s="63"/>
      <c r="D152" s="63"/>
      <c r="E152" s="63"/>
      <c r="F152" s="63"/>
    </row>
    <row r="153" customFormat="false" ht="15" hidden="false" customHeight="false" outlineLevel="0" collapsed="false">
      <c r="A153" s="62"/>
      <c r="B153" s="63"/>
      <c r="C153" s="63"/>
      <c r="D153" s="63"/>
      <c r="E153" s="63"/>
      <c r="F153" s="63"/>
    </row>
    <row r="154" customFormat="false" ht="15" hidden="false" customHeight="false" outlineLevel="0" collapsed="false">
      <c r="A154" s="62"/>
      <c r="B154" s="63"/>
      <c r="C154" s="63"/>
      <c r="D154" s="63"/>
      <c r="E154" s="63"/>
      <c r="F154" s="63"/>
    </row>
    <row r="155" customFormat="false" ht="15" hidden="false" customHeight="false" outlineLevel="0" collapsed="false">
      <c r="A155" s="62"/>
      <c r="B155" s="63"/>
      <c r="C155" s="63"/>
      <c r="D155" s="63"/>
      <c r="E155" s="63"/>
      <c r="F155" s="63"/>
    </row>
    <row r="156" customFormat="false" ht="15" hidden="false" customHeight="false" outlineLevel="0" collapsed="false">
      <c r="A156" s="62"/>
      <c r="B156" s="63"/>
      <c r="C156" s="63"/>
      <c r="D156" s="63"/>
      <c r="E156" s="63"/>
      <c r="F156" s="63"/>
    </row>
    <row r="157" customFormat="false" ht="15" hidden="false" customHeight="false" outlineLevel="0" collapsed="false">
      <c r="A157" s="62"/>
      <c r="B157" s="63"/>
      <c r="C157" s="63"/>
      <c r="D157" s="63"/>
      <c r="E157" s="63"/>
      <c r="F157" s="63"/>
    </row>
    <row r="158" customFormat="false" ht="15" hidden="false" customHeight="false" outlineLevel="0" collapsed="false">
      <c r="A158" s="62"/>
      <c r="B158" s="63"/>
      <c r="C158" s="63"/>
      <c r="D158" s="63"/>
      <c r="E158" s="63"/>
      <c r="F158" s="63"/>
    </row>
    <row r="159" customFormat="false" ht="15" hidden="false" customHeight="false" outlineLevel="0" collapsed="false">
      <c r="A159" s="62"/>
      <c r="B159" s="63"/>
      <c r="C159" s="63"/>
      <c r="D159" s="63"/>
      <c r="E159" s="63"/>
      <c r="F159" s="63"/>
    </row>
    <row r="160" customFormat="false" ht="15" hidden="false" customHeight="false" outlineLevel="0" collapsed="false">
      <c r="A160" s="62"/>
      <c r="B160" s="63"/>
      <c r="C160" s="63"/>
      <c r="D160" s="63"/>
      <c r="E160" s="63"/>
      <c r="F160" s="63"/>
    </row>
    <row r="161" customFormat="false" ht="15" hidden="false" customHeight="false" outlineLevel="0" collapsed="false">
      <c r="A161" s="62"/>
      <c r="B161" s="63"/>
      <c r="C161" s="63"/>
      <c r="D161" s="63"/>
      <c r="E161" s="63"/>
      <c r="F161" s="63"/>
    </row>
    <row r="162" customFormat="false" ht="15" hidden="false" customHeight="false" outlineLevel="0" collapsed="false">
      <c r="A162" s="62"/>
      <c r="B162" s="63"/>
      <c r="C162" s="63"/>
      <c r="D162" s="63"/>
      <c r="E162" s="63"/>
      <c r="F162" s="63"/>
    </row>
    <row r="163" customFormat="false" ht="15" hidden="false" customHeight="false" outlineLevel="0" collapsed="false">
      <c r="A163" s="62"/>
      <c r="B163" s="63"/>
      <c r="C163" s="63"/>
      <c r="D163" s="63"/>
      <c r="E163" s="63"/>
      <c r="F163" s="63"/>
    </row>
    <row r="164" customFormat="false" ht="15" hidden="false" customHeight="false" outlineLevel="0" collapsed="false">
      <c r="A164" s="62"/>
      <c r="B164" s="63"/>
      <c r="C164" s="63"/>
      <c r="D164" s="63"/>
      <c r="E164" s="63"/>
      <c r="F164" s="63"/>
    </row>
    <row r="165" customFormat="false" ht="15" hidden="false" customHeight="false" outlineLevel="0" collapsed="false">
      <c r="A165" s="62"/>
      <c r="B165" s="63"/>
      <c r="C165" s="63"/>
      <c r="D165" s="63"/>
      <c r="E165" s="63"/>
      <c r="F165" s="63"/>
    </row>
    <row r="166" customFormat="false" ht="15" hidden="false" customHeight="false" outlineLevel="0" collapsed="false">
      <c r="A166" s="62"/>
      <c r="B166" s="63"/>
      <c r="C166" s="63"/>
      <c r="D166" s="63"/>
      <c r="E166" s="63"/>
      <c r="F166" s="63"/>
    </row>
    <row r="167" customFormat="false" ht="15" hidden="false" customHeight="false" outlineLevel="0" collapsed="false">
      <c r="A167" s="62"/>
      <c r="B167" s="63"/>
      <c r="C167" s="63"/>
      <c r="D167" s="63"/>
      <c r="E167" s="63"/>
      <c r="F167" s="63"/>
    </row>
    <row r="168" customFormat="false" ht="15" hidden="false" customHeight="false" outlineLevel="0" collapsed="false">
      <c r="A168" s="62"/>
      <c r="B168" s="63"/>
      <c r="C168" s="63"/>
      <c r="D168" s="63"/>
      <c r="E168" s="63"/>
      <c r="F168" s="63"/>
    </row>
    <row r="169" customFormat="false" ht="15" hidden="false" customHeight="false" outlineLevel="0" collapsed="false">
      <c r="A169" s="62"/>
      <c r="B169" s="63"/>
      <c r="C169" s="63"/>
      <c r="D169" s="63"/>
      <c r="E169" s="63"/>
      <c r="F169" s="63"/>
    </row>
    <row r="170" customFormat="false" ht="15" hidden="false" customHeight="false" outlineLevel="0" collapsed="false">
      <c r="A170" s="62"/>
      <c r="B170" s="63"/>
      <c r="C170" s="63"/>
      <c r="D170" s="63"/>
      <c r="E170" s="63"/>
      <c r="F170" s="63"/>
    </row>
    <row r="171" customFormat="false" ht="15" hidden="false" customHeight="false" outlineLevel="0" collapsed="false">
      <c r="A171" s="62"/>
      <c r="B171" s="63"/>
      <c r="C171" s="63"/>
      <c r="D171" s="63"/>
      <c r="E171" s="63"/>
      <c r="F171" s="63"/>
    </row>
    <row r="172" customFormat="false" ht="15" hidden="false" customHeight="false" outlineLevel="0" collapsed="false">
      <c r="A172" s="62"/>
      <c r="B172" s="63"/>
      <c r="C172" s="63"/>
      <c r="D172" s="63"/>
      <c r="E172" s="63"/>
      <c r="F172" s="63"/>
    </row>
    <row r="173" customFormat="false" ht="15" hidden="false" customHeight="false" outlineLevel="0" collapsed="false">
      <c r="A173" s="62"/>
      <c r="B173" s="63"/>
      <c r="C173" s="63"/>
      <c r="D173" s="63"/>
      <c r="E173" s="63"/>
      <c r="F173" s="63"/>
    </row>
    <row r="174" customFormat="false" ht="15" hidden="false" customHeight="false" outlineLevel="0" collapsed="false">
      <c r="A174" s="62"/>
      <c r="B174" s="63"/>
      <c r="C174" s="63"/>
      <c r="D174" s="63"/>
      <c r="E174" s="63"/>
      <c r="F174" s="63"/>
    </row>
    <row r="175" customFormat="false" ht="15" hidden="false" customHeight="false" outlineLevel="0" collapsed="false">
      <c r="A175" s="62"/>
      <c r="B175" s="63"/>
      <c r="C175" s="63"/>
      <c r="D175" s="63"/>
      <c r="E175" s="63"/>
      <c r="F175" s="63"/>
    </row>
    <row r="176" customFormat="false" ht="15" hidden="false" customHeight="false" outlineLevel="0" collapsed="false">
      <c r="A176" s="62"/>
      <c r="B176" s="63"/>
      <c r="C176" s="63"/>
      <c r="D176" s="63"/>
      <c r="E176" s="63"/>
      <c r="F176" s="63"/>
    </row>
    <row r="177" customFormat="false" ht="15" hidden="false" customHeight="false" outlineLevel="0" collapsed="false">
      <c r="A177" s="62"/>
      <c r="B177" s="63"/>
      <c r="C177" s="63"/>
      <c r="D177" s="63"/>
      <c r="E177" s="63"/>
      <c r="F177" s="63"/>
    </row>
    <row r="178" customFormat="false" ht="15" hidden="false" customHeight="false" outlineLevel="0" collapsed="false">
      <c r="A178" s="62"/>
      <c r="B178" s="63"/>
      <c r="C178" s="63"/>
      <c r="D178" s="63"/>
      <c r="E178" s="63"/>
      <c r="F178" s="63"/>
    </row>
    <row r="179" customFormat="false" ht="15" hidden="false" customHeight="false" outlineLevel="0" collapsed="false">
      <c r="A179" s="62"/>
      <c r="B179" s="63"/>
      <c r="C179" s="63"/>
      <c r="D179" s="63"/>
      <c r="E179" s="63"/>
      <c r="F179" s="63"/>
    </row>
    <row r="180" customFormat="false" ht="15" hidden="false" customHeight="false" outlineLevel="0" collapsed="false">
      <c r="A180" s="62"/>
      <c r="B180" s="63"/>
      <c r="C180" s="63"/>
      <c r="D180" s="63"/>
      <c r="E180" s="63"/>
      <c r="F180" s="63"/>
    </row>
    <row r="181" customFormat="false" ht="15" hidden="false" customHeight="false" outlineLevel="0" collapsed="false">
      <c r="A181" s="62"/>
      <c r="B181" s="63"/>
      <c r="C181" s="63"/>
      <c r="D181" s="63"/>
      <c r="E181" s="63"/>
      <c r="F181" s="63"/>
    </row>
    <row r="182" customFormat="false" ht="15" hidden="false" customHeight="false" outlineLevel="0" collapsed="false">
      <c r="A182" s="62"/>
      <c r="B182" s="63"/>
      <c r="C182" s="63"/>
      <c r="D182" s="63"/>
      <c r="E182" s="63"/>
      <c r="F182" s="63"/>
    </row>
    <row r="183" customFormat="false" ht="15" hidden="false" customHeight="false" outlineLevel="0" collapsed="false">
      <c r="A183" s="62"/>
      <c r="B183" s="63"/>
      <c r="C183" s="63"/>
      <c r="D183" s="63"/>
      <c r="E183" s="63"/>
      <c r="F183" s="63"/>
    </row>
    <row r="184" customFormat="false" ht="15" hidden="false" customHeight="false" outlineLevel="0" collapsed="false">
      <c r="A184" s="62"/>
      <c r="B184" s="63"/>
      <c r="C184" s="63"/>
      <c r="D184" s="63"/>
      <c r="E184" s="63"/>
      <c r="F184" s="63"/>
    </row>
    <row r="185" customFormat="false" ht="15" hidden="false" customHeight="false" outlineLevel="0" collapsed="false">
      <c r="A185" s="62"/>
      <c r="B185" s="63"/>
      <c r="C185" s="63"/>
      <c r="D185" s="63"/>
      <c r="E185" s="63"/>
      <c r="F185" s="63"/>
    </row>
    <row r="186" customFormat="false" ht="15" hidden="false" customHeight="false" outlineLevel="0" collapsed="false">
      <c r="A186" s="62"/>
      <c r="B186" s="63"/>
      <c r="C186" s="63"/>
      <c r="D186" s="63"/>
      <c r="E186" s="63"/>
      <c r="F186" s="63"/>
    </row>
    <row r="187" customFormat="false" ht="15" hidden="false" customHeight="false" outlineLevel="0" collapsed="false">
      <c r="A187" s="62"/>
      <c r="B187" s="63"/>
      <c r="C187" s="63"/>
      <c r="D187" s="63"/>
      <c r="E187" s="63"/>
      <c r="F187" s="63"/>
    </row>
    <row r="188" customFormat="false" ht="15" hidden="false" customHeight="false" outlineLevel="0" collapsed="false">
      <c r="A188" s="62"/>
      <c r="B188" s="63"/>
      <c r="C188" s="63"/>
      <c r="D188" s="63"/>
      <c r="E188" s="63"/>
      <c r="F188" s="63"/>
    </row>
    <row r="189" customFormat="false" ht="15" hidden="false" customHeight="false" outlineLevel="0" collapsed="false">
      <c r="A189" s="62"/>
      <c r="B189" s="63"/>
      <c r="C189" s="63"/>
      <c r="D189" s="63"/>
      <c r="E189" s="63"/>
      <c r="F189" s="63"/>
    </row>
    <row r="190" customFormat="false" ht="15" hidden="false" customHeight="false" outlineLevel="0" collapsed="false">
      <c r="A190" s="62"/>
      <c r="B190" s="63"/>
      <c r="C190" s="63"/>
      <c r="D190" s="63"/>
      <c r="E190" s="63"/>
      <c r="F190" s="63"/>
    </row>
    <row r="191" customFormat="false" ht="15" hidden="false" customHeight="false" outlineLevel="0" collapsed="false">
      <c r="A191" s="62"/>
      <c r="B191" s="63"/>
      <c r="C191" s="63"/>
      <c r="D191" s="63"/>
      <c r="E191" s="63"/>
      <c r="F191" s="63"/>
    </row>
    <row r="192" customFormat="false" ht="15" hidden="false" customHeight="false" outlineLevel="0" collapsed="false">
      <c r="A192" s="62"/>
      <c r="B192" s="63"/>
      <c r="C192" s="63"/>
      <c r="D192" s="63"/>
      <c r="E192" s="63"/>
      <c r="F192" s="63"/>
    </row>
    <row r="193" customFormat="false" ht="15" hidden="false" customHeight="false" outlineLevel="0" collapsed="false">
      <c r="A193" s="62"/>
      <c r="B193" s="63"/>
      <c r="C193" s="63"/>
      <c r="D193" s="63"/>
      <c r="E193" s="63"/>
      <c r="F193" s="63"/>
    </row>
    <row r="194" customFormat="false" ht="15" hidden="false" customHeight="false" outlineLevel="0" collapsed="false">
      <c r="A194" s="62"/>
      <c r="B194" s="63"/>
      <c r="C194" s="63"/>
      <c r="D194" s="63"/>
      <c r="E194" s="63"/>
      <c r="F194" s="63"/>
    </row>
    <row r="195" customFormat="false" ht="15" hidden="false" customHeight="false" outlineLevel="0" collapsed="false">
      <c r="A195" s="62"/>
      <c r="B195" s="63"/>
      <c r="C195" s="63"/>
      <c r="D195" s="63"/>
      <c r="E195" s="63"/>
      <c r="F195" s="63"/>
    </row>
    <row r="196" customFormat="false" ht="15" hidden="false" customHeight="false" outlineLevel="0" collapsed="false">
      <c r="A196" s="62"/>
      <c r="B196" s="63"/>
      <c r="C196" s="63"/>
      <c r="D196" s="63"/>
      <c r="E196" s="63"/>
      <c r="F196" s="63"/>
    </row>
    <row r="197" customFormat="false" ht="15" hidden="false" customHeight="false" outlineLevel="0" collapsed="false">
      <c r="A197" s="62"/>
      <c r="B197" s="63"/>
      <c r="C197" s="63"/>
      <c r="D197" s="63"/>
      <c r="E197" s="63"/>
      <c r="F197" s="63"/>
    </row>
    <row r="198" customFormat="false" ht="15" hidden="false" customHeight="false" outlineLevel="0" collapsed="false">
      <c r="A198" s="62"/>
      <c r="B198" s="63"/>
      <c r="C198" s="63"/>
      <c r="D198" s="63"/>
      <c r="E198" s="63"/>
      <c r="F198" s="63"/>
    </row>
    <row r="199" customFormat="false" ht="15" hidden="false" customHeight="false" outlineLevel="0" collapsed="false">
      <c r="A199" s="62"/>
      <c r="B199" s="63"/>
      <c r="C199" s="63"/>
      <c r="D199" s="63"/>
      <c r="E199" s="63"/>
      <c r="F199" s="63"/>
    </row>
    <row r="200" customFormat="false" ht="15" hidden="false" customHeight="false" outlineLevel="0" collapsed="false">
      <c r="A200" s="62"/>
      <c r="B200" s="63"/>
      <c r="C200" s="63"/>
      <c r="D200" s="63"/>
      <c r="E200" s="63"/>
      <c r="F200" s="63"/>
    </row>
    <row r="201" customFormat="false" ht="15" hidden="false" customHeight="false" outlineLevel="0" collapsed="false">
      <c r="A201" s="62"/>
      <c r="B201" s="63"/>
      <c r="C201" s="63"/>
      <c r="D201" s="63"/>
      <c r="E201" s="63"/>
      <c r="F201" s="63"/>
    </row>
    <row r="202" customFormat="false" ht="15" hidden="false" customHeight="false" outlineLevel="0" collapsed="false">
      <c r="A202" s="62"/>
      <c r="B202" s="63"/>
      <c r="C202" s="63"/>
      <c r="D202" s="63"/>
      <c r="E202" s="63"/>
      <c r="F202" s="63"/>
    </row>
    <row r="203" customFormat="false" ht="15" hidden="false" customHeight="false" outlineLevel="0" collapsed="false">
      <c r="A203" s="62"/>
      <c r="B203" s="63"/>
      <c r="C203" s="63"/>
      <c r="D203" s="63"/>
      <c r="E203" s="63"/>
      <c r="F203" s="63"/>
    </row>
  </sheetData>
  <dataValidations count="1">
    <dataValidation allowBlank="true" errorStyle="stop" operator="between" showDropDown="false" showErrorMessage="false" showInputMessage="false" sqref="F4:F203" type="list">
      <formula1>"LEEME,MI FUTURO,MIS DATOS,MOVIMIENTOS,FLEXIBLE,CASA,DECISIONES,HISTORIAL,VIVIENDA,INMUEBLES,VIAJES,PARÁMETROS,REGLAS,CATEGORÍAS,PROYECCIÓN"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5" min="5" style="0" width="15"/>
    <col collapsed="false" customWidth="true" hidden="false" outlineLevel="0" max="6" min="6" style="0" width="44"/>
    <col collapsed="false" customWidth="true" hidden="false" outlineLevel="0" max="8" min="7" style="0" width="15"/>
    <col collapsed="false" customWidth="true" hidden="false" outlineLevel="0" max="9" min="9" style="0" width="13"/>
  </cols>
  <sheetData>
    <row r="1" customFormat="false" ht="30" hidden="false" customHeight="true" outlineLevel="0" collapsed="false">
      <c r="A1" s="1" t="s">
        <v>652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653</v>
      </c>
    </row>
    <row r="4" customFormat="false" ht="15" hidden="false" customHeight="false" outlineLevel="0" collapsed="false">
      <c r="A4" s="16" t="s">
        <v>654</v>
      </c>
      <c r="B4" s="17"/>
      <c r="C4" s="17"/>
      <c r="D4" s="17"/>
    </row>
    <row r="5" customFormat="false" ht="15" hidden="false" customHeight="false" outlineLevel="0" collapsed="false">
      <c r="A5" s="5" t="s">
        <v>655</v>
      </c>
      <c r="B5" s="28" t="n">
        <v>220000</v>
      </c>
      <c r="C5" s="40" t="s">
        <v>656</v>
      </c>
    </row>
    <row r="6" customFormat="false" ht="15" hidden="false" customHeight="false" outlineLevel="0" collapsed="false">
      <c r="A6" s="5" t="s">
        <v>657</v>
      </c>
      <c r="B6" s="29" t="n">
        <v>0</v>
      </c>
      <c r="C6" s="40" t="s">
        <v>658</v>
      </c>
    </row>
    <row r="7" customFormat="false" ht="15" hidden="false" customHeight="false" outlineLevel="0" collapsed="false">
      <c r="A7" s="5" t="s">
        <v>659</v>
      </c>
      <c r="B7" s="28" t="n">
        <v>55000</v>
      </c>
      <c r="C7" s="40" t="s">
        <v>660</v>
      </c>
    </row>
    <row r="8" customFormat="false" ht="15" hidden="false" customHeight="false" outlineLevel="0" collapsed="false">
      <c r="A8" s="5" t="s">
        <v>661</v>
      </c>
      <c r="B8" s="64" t="n">
        <v>0.06</v>
      </c>
      <c r="C8" s="40" t="s">
        <v>662</v>
      </c>
    </row>
    <row r="9" customFormat="false" ht="15" hidden="false" customHeight="false" outlineLevel="0" collapsed="false">
      <c r="A9" s="5" t="s">
        <v>663</v>
      </c>
      <c r="B9" s="28" t="n">
        <v>2500</v>
      </c>
      <c r="C9" s="40" t="s">
        <v>664</v>
      </c>
    </row>
    <row r="10" customFormat="false" ht="15" hidden="false" customHeight="false" outlineLevel="0" collapsed="false">
      <c r="A10" s="5" t="s">
        <v>665</v>
      </c>
      <c r="B10" s="28" t="n">
        <v>400</v>
      </c>
      <c r="C10" s="40" t="s">
        <v>666</v>
      </c>
    </row>
    <row r="11" customFormat="false" ht="15" hidden="false" customHeight="false" outlineLevel="0" collapsed="false">
      <c r="A11" s="5" t="s">
        <v>667</v>
      </c>
      <c r="B11" s="64" t="n">
        <v>0.029</v>
      </c>
      <c r="C11" s="40" t="s">
        <v>668</v>
      </c>
    </row>
    <row r="12" customFormat="false" ht="15" hidden="false" customHeight="false" outlineLevel="0" collapsed="false">
      <c r="A12" s="5" t="s">
        <v>669</v>
      </c>
      <c r="B12" s="31" t="n">
        <v>25</v>
      </c>
      <c r="C12" s="40"/>
    </row>
    <row r="13" customFormat="false" ht="15" hidden="false" customHeight="false" outlineLevel="0" collapsed="false">
      <c r="A13" s="5" t="s">
        <v>670</v>
      </c>
      <c r="B13" s="31" t="n">
        <v>75</v>
      </c>
      <c r="C13" s="40" t="s">
        <v>671</v>
      </c>
    </row>
    <row r="14" customFormat="false" ht="15" hidden="false" customHeight="false" outlineLevel="0" collapsed="false">
      <c r="A14" s="5" t="s">
        <v>672</v>
      </c>
      <c r="B14" s="28" t="n">
        <v>850</v>
      </c>
      <c r="C14" s="40" t="s">
        <v>673</v>
      </c>
    </row>
    <row r="15" customFormat="false" ht="15" hidden="false" customHeight="false" outlineLevel="0" collapsed="false">
      <c r="A15" s="5" t="s">
        <v>674</v>
      </c>
      <c r="B15" s="31" t="n">
        <v>3</v>
      </c>
      <c r="C15" s="40"/>
    </row>
    <row r="16" customFormat="false" ht="15" hidden="false" customHeight="false" outlineLevel="0" collapsed="false">
      <c r="A16" s="5" t="s">
        <v>675</v>
      </c>
      <c r="B16" s="31" t="n">
        <v>20</v>
      </c>
      <c r="C16" s="40" t="s">
        <v>676</v>
      </c>
    </row>
    <row r="17" customFormat="false" ht="15" hidden="false" customHeight="false" outlineLevel="0" collapsed="false">
      <c r="A17" s="5" t="s">
        <v>677</v>
      </c>
      <c r="B17" s="65" t="n">
        <f aca="false">PARÁMETROS!$B$19</f>
        <v>0.03</v>
      </c>
      <c r="C17" s="40" t="s">
        <v>678</v>
      </c>
    </row>
    <row r="18" customFormat="false" ht="15" hidden="false" customHeight="false" outlineLevel="0" collapsed="false">
      <c r="A18" s="5" t="s">
        <v>679</v>
      </c>
      <c r="B18" s="65" t="n">
        <f aca="false">PARÁMETROS!$B$7</f>
        <v>0.05</v>
      </c>
      <c r="C18" s="40" t="s">
        <v>678</v>
      </c>
    </row>
    <row r="20" customFormat="false" ht="15" hidden="false" customHeight="false" outlineLevel="0" collapsed="false">
      <c r="A20" s="16" t="s">
        <v>680</v>
      </c>
      <c r="B20" s="17"/>
      <c r="C20" s="17"/>
      <c r="D20" s="17"/>
      <c r="F20" s="16" t="s">
        <v>681</v>
      </c>
      <c r="G20" s="17"/>
    </row>
    <row r="21" customFormat="false" ht="15" hidden="false" customHeight="false" outlineLevel="0" collapsed="false">
      <c r="A21" s="5" t="s">
        <v>682</v>
      </c>
      <c r="B21" s="23" t="n">
        <f aca="false">$B$5*(1-$B$6)</f>
        <v>220000</v>
      </c>
      <c r="F21" s="5" t="s">
        <v>683</v>
      </c>
      <c r="G21" s="23" t="n">
        <f aca="false">$B$5*(1+$B$17)^$B$15</f>
        <v>240399.94</v>
      </c>
    </row>
    <row r="22" customFormat="false" ht="15" hidden="false" customHeight="false" outlineLevel="0" collapsed="false">
      <c r="A22" s="5" t="s">
        <v>684</v>
      </c>
      <c r="B22" s="23" t="n">
        <f aca="false">B21*$B$8</f>
        <v>13200</v>
      </c>
      <c r="F22" s="5" t="s">
        <v>685</v>
      </c>
      <c r="G22" s="23" t="n">
        <f aca="false">G21*(1-$B$6)</f>
        <v>240399.94</v>
      </c>
    </row>
    <row r="23" customFormat="false" ht="15" hidden="false" customHeight="false" outlineLevel="0" collapsed="false">
      <c r="A23" s="5" t="s">
        <v>686</v>
      </c>
      <c r="B23" s="23" t="n">
        <f aca="false">B22+$B$9+$B$10</f>
        <v>16100</v>
      </c>
      <c r="F23" s="5" t="s">
        <v>687</v>
      </c>
      <c r="G23" s="23" t="n">
        <f aca="false">G22*$B$8+$B$9+$B$10</f>
        <v>17323.9964</v>
      </c>
    </row>
    <row r="24" customFormat="false" ht="15" hidden="false" customHeight="false" outlineLevel="0" collapsed="false">
      <c r="A24" s="5" t="s">
        <v>688</v>
      </c>
      <c r="B24" s="23" t="n">
        <f aca="false">B21+B23</f>
        <v>236100</v>
      </c>
      <c r="F24" s="5" t="s">
        <v>688</v>
      </c>
      <c r="G24" s="23" t="n">
        <f aca="false">G22+G23</f>
        <v>257723.9364</v>
      </c>
    </row>
    <row r="25" customFormat="false" ht="15" hidden="false" customHeight="false" outlineLevel="0" collapsed="false">
      <c r="A25" s="5" t="s">
        <v>631</v>
      </c>
      <c r="B25" s="56" t="n">
        <f aca="false">MAX(0,B24-$B$7)</f>
        <v>181100</v>
      </c>
      <c r="F25" s="5" t="s">
        <v>689</v>
      </c>
      <c r="G25" s="23" t="n">
        <f aca="false">$B$7*(1+$B$18)^$B$15+(B30-$B$14)*12*IFERROR(((1+$B$18)^$B$15-1)/$B$18,$B$15)</f>
        <v>63646.940629017</v>
      </c>
    </row>
    <row r="26" customFormat="false" ht="15" hidden="false" customHeight="false" outlineLevel="0" collapsed="false">
      <c r="A26" s="5" t="s">
        <v>690</v>
      </c>
      <c r="B26" s="23" t="n">
        <f aca="false">B24-B25</f>
        <v>55000</v>
      </c>
      <c r="F26" s="5" t="s">
        <v>631</v>
      </c>
      <c r="G26" s="56" t="n">
        <f aca="false">MAX(0,G24-G25)</f>
        <v>194076.995770983</v>
      </c>
    </row>
    <row r="27" customFormat="false" ht="15" hidden="false" customHeight="false" outlineLevel="0" collapsed="false">
      <c r="A27" s="5" t="s">
        <v>691</v>
      </c>
      <c r="B27" s="66" t="n">
        <f aca="false">IFERROR(B25/B21,0)</f>
        <v>0.823181818181818</v>
      </c>
      <c r="F27" s="5" t="s">
        <v>692</v>
      </c>
      <c r="G27" s="23" t="n">
        <f aca="false">G24-G26</f>
        <v>63646.940629017</v>
      </c>
    </row>
    <row r="28" customFormat="false" ht="15" hidden="false" customHeight="false" outlineLevel="0" collapsed="false">
      <c r="A28" s="5" t="s">
        <v>693</v>
      </c>
      <c r="B28" s="67" t="n">
        <f aca="false">IFERROR(B25/$B$5,0)</f>
        <v>0.823181818181818</v>
      </c>
      <c r="F28" s="5" t="s">
        <v>694</v>
      </c>
      <c r="G28" s="66" t="n">
        <f aca="false">IFERROR(G26/G21,0)</f>
        <v>0.807308836146062</v>
      </c>
    </row>
    <row r="29" customFormat="false" ht="15" hidden="false" customHeight="false" outlineLevel="0" collapsed="false">
      <c r="A29" s="5" t="s">
        <v>695</v>
      </c>
      <c r="B29" s="26" t="n">
        <f aca="false">MAX(1,MIN($B$12,$B$13-PARÁMETROS!$B$4))</f>
        <v>25</v>
      </c>
      <c r="F29" s="5" t="s">
        <v>696</v>
      </c>
      <c r="G29" s="26" t="n">
        <f aca="false">MAX(1,MIN($B$12,$B$13-PARÁMETROS!$B$4-$B$15))</f>
        <v>25</v>
      </c>
    </row>
    <row r="30" customFormat="false" ht="15" hidden="false" customHeight="false" outlineLevel="0" collapsed="false">
      <c r="A30" s="5" t="s">
        <v>632</v>
      </c>
      <c r="B30" s="56" t="n">
        <f aca="false">IF(B25=0,0,PMT($B$11/12,B29*12,-B25))</f>
        <v>849.406968781839</v>
      </c>
      <c r="F30" s="5" t="s">
        <v>632</v>
      </c>
      <c r="G30" s="56" t="n">
        <f aca="false">IF(G26=0,0,PMT($B$11/12,G29*12,-G26))</f>
        <v>910.272516223724</v>
      </c>
    </row>
    <row r="31" customFormat="false" ht="15" hidden="false" customHeight="false" outlineLevel="0" collapsed="false">
      <c r="A31" s="5" t="s">
        <v>697</v>
      </c>
      <c r="B31" s="23" t="n">
        <f aca="false">B30*B29*12-B25</f>
        <v>73722.0906345516</v>
      </c>
      <c r="F31" s="5" t="s">
        <v>698</v>
      </c>
      <c r="G31" s="56" t="n">
        <f aca="false">G22-B21</f>
        <v>20399.94</v>
      </c>
    </row>
    <row r="33" customFormat="false" ht="15" hidden="false" customHeight="false" outlineLevel="0" collapsed="false">
      <c r="A33" s="16" t="s">
        <v>699</v>
      </c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5" t="s">
        <v>700</v>
      </c>
      <c r="B34" s="32" t="n">
        <f aca="false">$B$16</f>
        <v>20</v>
      </c>
    </row>
    <row r="35" customFormat="false" ht="15" hidden="false" customHeight="false" outlineLevel="0" collapsed="false">
      <c r="A35" s="5" t="s">
        <v>701</v>
      </c>
      <c r="B35" s="56" t="n">
        <f aca="false">INDEX($E$46:$E$76,MIN(30,$B$16)+1)</f>
        <v>349955.865302987</v>
      </c>
    </row>
    <row r="36" customFormat="false" ht="15" hidden="false" customHeight="false" outlineLevel="0" collapsed="false">
      <c r="A36" s="5" t="s">
        <v>702</v>
      </c>
      <c r="B36" s="56" t="n">
        <f aca="false">INDEX($H$46:$H$76,MIN(30,$B$16)+1)</f>
        <v>300564.777843901</v>
      </c>
    </row>
    <row r="37" customFormat="false" ht="15" hidden="false" customHeight="false" outlineLevel="0" collapsed="false">
      <c r="A37" s="5" t="s">
        <v>703</v>
      </c>
      <c r="B37" s="68" t="n">
        <f aca="false">B35-B36</f>
        <v>49391.0874590862</v>
      </c>
    </row>
    <row r="38" customFormat="false" ht="15" hidden="false" customHeight="false" outlineLevel="0" collapsed="false">
      <c r="A38" s="69" t="str">
        <f aca="false">IF(B37&gt;=0,"✅ Comprar ya sale mejor por "&amp;TEXT(B37,"#,##0")&amp;" € a "&amp;B34&amp;" años","⏳ Esperar sale mejor por "&amp;TEXT(-B37,"#,##0")&amp;" € a "&amp;B34&amp;" años")</f>
        <v>✅ Comprar ya sale mejor por 49,391 € a 20 años</v>
      </c>
    </row>
    <row r="39" customFormat="false" ht="15" hidden="false" customHeight="false" outlineLevel="0" collapsed="false">
      <c r="A39" s="60" t="str">
        <f aca="false">IF(OR($B$29&lt;$B$12,$G$29&lt;$B$12),"⚠️ Por tu edad el plazo se acorta (A: "&amp;$B$29&amp;" años, B: "&amp;$G$29&amp;" años) y la cuota sube","")</f>
        <v/>
      </c>
    </row>
    <row r="40" customFormat="false" ht="15" hidden="false" customHeight="false" outlineLevel="0" collapsed="false">
      <c r="A40" s="7" t="s">
        <v>704</v>
      </c>
    </row>
    <row r="41" customFormat="false" ht="15" hidden="false" customHeight="false" outlineLevel="0" collapsed="false">
      <c r="A41" s="7" t="s">
        <v>705</v>
      </c>
    </row>
    <row r="42" customFormat="false" ht="15" hidden="false" customHeight="false" outlineLevel="0" collapsed="false">
      <c r="A42" s="7" t="s">
        <v>706</v>
      </c>
    </row>
    <row r="43" customFormat="false" ht="15" hidden="false" customHeight="false" outlineLevel="0" collapsed="false">
      <c r="A43" s="7" t="s">
        <v>707</v>
      </c>
    </row>
    <row r="44" customFormat="false" ht="15" hidden="false" customHeight="false" outlineLevel="0" collapsed="false">
      <c r="A44" s="16" t="s">
        <v>708</v>
      </c>
      <c r="B44" s="17"/>
      <c r="C44" s="17"/>
      <c r="D44" s="17"/>
      <c r="E44" s="17"/>
      <c r="F44" s="17"/>
      <c r="G44" s="17"/>
      <c r="H44" s="17"/>
      <c r="I44" s="17"/>
    </row>
    <row r="45" customFormat="false" ht="22.35" hidden="false" customHeight="false" outlineLevel="0" collapsed="false">
      <c r="A45" s="22" t="s">
        <v>62</v>
      </c>
      <c r="B45" s="22" t="s">
        <v>709</v>
      </c>
      <c r="C45" s="22" t="s">
        <v>710</v>
      </c>
      <c r="D45" s="22" t="s">
        <v>711</v>
      </c>
      <c r="E45" s="22" t="s">
        <v>712</v>
      </c>
      <c r="F45" s="22" t="s">
        <v>713</v>
      </c>
      <c r="G45" s="22" t="s">
        <v>714</v>
      </c>
      <c r="H45" s="22" t="s">
        <v>715</v>
      </c>
      <c r="I45" s="22" t="s">
        <v>716</v>
      </c>
    </row>
    <row r="46" customFormat="false" ht="15" hidden="false" customHeight="false" outlineLevel="0" collapsed="false">
      <c r="A46" s="5" t="n">
        <v>0</v>
      </c>
      <c r="B46" s="23" t="n">
        <f aca="false">$B$5*(1+$B$17)^A46</f>
        <v>220000</v>
      </c>
      <c r="C46" s="23" t="n">
        <f aca="false">IF(A46&gt;=$B$29,0,MAX(0,FV($B$11/12,A46*12,$B$30,-$B$25)))</f>
        <v>181100</v>
      </c>
      <c r="D46" s="23" t="n">
        <f aca="false">MAX(0,$B$7-$B$24)</f>
        <v>0</v>
      </c>
      <c r="E46" s="23" t="n">
        <f aca="false">B46-C46+D46</f>
        <v>38900</v>
      </c>
      <c r="F46" s="23" t="n">
        <f aca="false">IF(A46&lt;$B$15,0,IF(A46-$B$15&gt;=$G$29,0,MAX(0,FV($B$11/12,(A46-$B$15)*12,$G$30,-$G$26))))</f>
        <v>0</v>
      </c>
      <c r="G46" s="23" t="n">
        <f aca="false">IF($B$15=0,MAX(0,$G$25-$G$24),$B$7)</f>
        <v>55000</v>
      </c>
      <c r="H46" s="23" t="n">
        <f aca="false">IF(A46&lt;$B$15,B46*$B$6+G46,B46-F46+G46)</f>
        <v>55000</v>
      </c>
      <c r="I46" s="34" t="n">
        <f aca="false">E46-H46</f>
        <v>-16100</v>
      </c>
    </row>
    <row r="47" customFormat="false" ht="15" hidden="false" customHeight="false" outlineLevel="0" collapsed="false">
      <c r="A47" s="5" t="n">
        <v>1</v>
      </c>
      <c r="B47" s="23" t="n">
        <f aca="false">$B$5*(1+$B$17)^A47</f>
        <v>226600</v>
      </c>
      <c r="C47" s="23" t="n">
        <f aca="false">IF(A47&gt;=$B$29,0,MAX(0,FV($B$11/12,A47*12,$B$30,-$B$25)))</f>
        <v>176092.810539646</v>
      </c>
      <c r="D47" s="23" t="n">
        <f aca="false">D46*(1+$B$18)+IF(A47&gt;$B$29,$B$30*12,0)</f>
        <v>0</v>
      </c>
      <c r="E47" s="23" t="n">
        <f aca="false">B47-C47+D47</f>
        <v>50507.189460354</v>
      </c>
      <c r="F47" s="23" t="n">
        <f aca="false">IF(A47&lt;$B$15,0,IF(A47-$B$15&gt;=$G$29,0,MAX(0,FV($B$11/12,(A47-$B$15)*12,$G$30,-$G$26))))</f>
        <v>0</v>
      </c>
      <c r="G47" s="23" t="n">
        <f aca="false">IF(A47&lt;$B$15,G46*(1+$B$18)+($B$30-$B$14)*12,IF(A47=$B$15,MAX(0,$G$25-$G$24),G46*(1+$B$18)+IF(A47-$B$15&lt;=$G$29,($B$30-$G$30)*12,$B$30*12)))</f>
        <v>57742.8836253821</v>
      </c>
      <c r="H47" s="23" t="n">
        <f aca="false">IF(A47&lt;$B$15,B47*$B$6+G47,B47-F47+G47)</f>
        <v>57742.8836253821</v>
      </c>
      <c r="I47" s="34" t="n">
        <f aca="false">E47-H47</f>
        <v>-7235.69416502811</v>
      </c>
    </row>
    <row r="48" customFormat="false" ht="15" hidden="false" customHeight="false" outlineLevel="0" collapsed="false">
      <c r="A48" s="5" t="n">
        <v>2</v>
      </c>
      <c r="B48" s="23" t="n">
        <f aca="false">$B$5*(1+$B$17)^A48</f>
        <v>233398</v>
      </c>
      <c r="C48" s="23" t="n">
        <f aca="false">IF(A48&gt;=$B$29,0,MAX(0,FV($B$11/12,A48*12,$B$30,-$B$25)))</f>
        <v>170938.46688944</v>
      </c>
      <c r="D48" s="23" t="n">
        <f aca="false">D47*(1+$B$18)+IF(A48&gt;$B$29,$B$30*12,0)</f>
        <v>0</v>
      </c>
      <c r="E48" s="23" t="n">
        <f aca="false">B48-C48+D48</f>
        <v>62459.5331105597</v>
      </c>
      <c r="F48" s="23" t="n">
        <f aca="false">IF(A48&lt;$B$15,0,IF(A48-$B$15&gt;=$G$29,0,MAX(0,FV($B$11/12,(A48-$B$15)*12,$G$30,-$G$26))))</f>
        <v>0</v>
      </c>
      <c r="G48" s="23" t="n">
        <f aca="false">IF(A48&lt;$B$15,G47*(1+$B$18)+($B$30-$B$14)*12,IF(A48=$B$15,MAX(0,$G$25-$G$24),G47*(1+$B$18)+IF(A48-$B$15&lt;=$G$29,($B$30-$G$30)*12,$B$30*12)))</f>
        <v>60622.9114320332</v>
      </c>
      <c r="H48" s="23" t="n">
        <f aca="false">IF(A48&lt;$B$15,B48*$B$6+G48,B48-F48+G48)</f>
        <v>60622.9114320332</v>
      </c>
      <c r="I48" s="34" t="n">
        <f aca="false">E48-H48</f>
        <v>1836.62167852651</v>
      </c>
    </row>
    <row r="49" customFormat="false" ht="15" hidden="false" customHeight="false" outlineLevel="0" collapsed="false">
      <c r="A49" s="5" t="n">
        <v>3</v>
      </c>
      <c r="B49" s="23" t="n">
        <f aca="false">$B$5*(1+$B$17)^A49</f>
        <v>240399.94</v>
      </c>
      <c r="C49" s="23" t="n">
        <f aca="false">IF(A49&gt;=$B$29,0,MAX(0,FV($B$11/12,A49*12,$B$30,-$B$25)))</f>
        <v>165632.644396648</v>
      </c>
      <c r="D49" s="23" t="n">
        <f aca="false">D48*(1+$B$18)+IF(A49&gt;$B$29,$B$30*12,0)</f>
        <v>0</v>
      </c>
      <c r="E49" s="23" t="n">
        <f aca="false">B49-C49+D49</f>
        <v>74767.2956033518</v>
      </c>
      <c r="F49" s="23" t="n">
        <f aca="false">IF(A49&lt;$B$15,0,IF(A49-$B$15&gt;=$G$29,0,MAX(0,FV($B$11/12,(A49-$B$15)*12,$G$30,-$G$26))))</f>
        <v>194076.995770983</v>
      </c>
      <c r="G49" s="23" t="n">
        <f aca="false">IF(A49&lt;$B$15,G48*(1+$B$18)+($B$30-$B$14)*12,IF(A49=$B$15,MAX(0,$G$25-$G$24),G48*(1+$B$18)+IF(A49-$B$15&lt;=$G$29,($B$30-$G$30)*12,$B$30*12)))</f>
        <v>0</v>
      </c>
      <c r="H49" s="23" t="n">
        <f aca="false">IF(A49&lt;$B$15,B49*$B$6+G49,B49-F49+G49)</f>
        <v>46322.944229017</v>
      </c>
      <c r="I49" s="34" t="n">
        <f aca="false">E49-H49</f>
        <v>28444.3513743348</v>
      </c>
    </row>
    <row r="50" customFormat="false" ht="15" hidden="false" customHeight="false" outlineLevel="0" collapsed="false">
      <c r="A50" s="5" t="n">
        <v>4</v>
      </c>
      <c r="B50" s="23" t="n">
        <f aca="false">$B$5*(1+$B$17)^A50</f>
        <v>247611.9382</v>
      </c>
      <c r="C50" s="23" t="n">
        <f aca="false">IF(A50&gt;=$B$29,0,MAX(0,FV($B$11/12,A50*12,$B$30,-$B$25)))</f>
        <v>160170.891313131</v>
      </c>
      <c r="D50" s="23" t="n">
        <f aca="false">D49*(1+$B$18)+IF(A50&gt;$B$29,$B$30*12,0)</f>
        <v>0</v>
      </c>
      <c r="E50" s="23" t="n">
        <f aca="false">B50-C50+D50</f>
        <v>87441.0468868687</v>
      </c>
      <c r="F50" s="23" t="n">
        <f aca="false">IF(A50&lt;$B$15,0,IF(A50-$B$15&gt;=$G$29,0,MAX(0,FV($B$11/12,(A50-$B$15)*12,$G$30,-$G$26))))</f>
        <v>188711.008538948</v>
      </c>
      <c r="G50" s="23" t="n">
        <f aca="false">IF(A50&lt;$B$15,G49*(1+$B$18)+($B$30-$B$14)*12,IF(A50=$B$15,MAX(0,$G$25-$G$24),G49*(1+$B$18)+IF(A50-$B$15&lt;=$G$29,($B$30-$G$30)*12,$B$30*12)))</f>
        <v>-730.386569302626</v>
      </c>
      <c r="H50" s="23" t="n">
        <f aca="false">IF(A50&lt;$B$15,B50*$B$6+G50,B50-F50+G50)</f>
        <v>58170.5430917498</v>
      </c>
      <c r="I50" s="34" t="n">
        <f aca="false">E50-H50</f>
        <v>29270.5037951189</v>
      </c>
    </row>
    <row r="51" customFormat="false" ht="15" hidden="false" customHeight="false" outlineLevel="0" collapsed="false">
      <c r="A51" s="5" t="n">
        <v>5</v>
      </c>
      <c r="B51" s="23" t="n">
        <f aca="false">$B$5*(1+$B$17)^A51</f>
        <v>255040.296346</v>
      </c>
      <c r="C51" s="23" t="n">
        <f aca="false">IF(A51&gt;=$B$29,0,MAX(0,FV($B$11/12,A51*12,$B$30,-$B$25)))</f>
        <v>154548.625060193</v>
      </c>
      <c r="D51" s="23" t="n">
        <f aca="false">D50*(1+$B$18)+IF(A51&gt;$B$29,$B$30*12,0)</f>
        <v>0</v>
      </c>
      <c r="E51" s="23" t="n">
        <f aca="false">B51-C51+D51</f>
        <v>100491.671285807</v>
      </c>
      <c r="F51" s="23" t="n">
        <f aca="false">IF(A51&lt;$B$15,0,IF(A51-$B$15&gt;=$G$29,0,MAX(0,FV($B$11/12,(A51-$B$15)*12,$G$30,-$G$26))))</f>
        <v>183187.322559913</v>
      </c>
      <c r="G51" s="23" t="n">
        <f aca="false">IF(A51&lt;$B$15,G50*(1+$B$18)+($B$30-$B$14)*12,IF(A51=$B$15,MAX(0,$G$25-$G$24),G50*(1+$B$18)+IF(A51-$B$15&lt;=$G$29,($B$30-$G$30)*12,$B$30*12)))</f>
        <v>-1497.29246707038</v>
      </c>
      <c r="H51" s="23" t="n">
        <f aca="false">IF(A51&lt;$B$15,B51*$B$6+G51,B51-F51+G51)</f>
        <v>70355.6813190167</v>
      </c>
      <c r="I51" s="34" t="n">
        <f aca="false">E51-H51</f>
        <v>30135.9899667906</v>
      </c>
    </row>
    <row r="52" customFormat="false" ht="15" hidden="false" customHeight="false" outlineLevel="0" collapsed="false">
      <c r="A52" s="5" t="n">
        <v>6</v>
      </c>
      <c r="B52" s="23" t="n">
        <f aca="false">$B$5*(1+$B$17)^A52</f>
        <v>262691.50523638</v>
      </c>
      <c r="C52" s="23" t="n">
        <f aca="false">IF(A52&gt;=$B$29,0,MAX(0,FV($B$11/12,A52*12,$B$30,-$B$25)))</f>
        <v>148761.128383654</v>
      </c>
      <c r="D52" s="23" t="n">
        <f aca="false">D51*(1+$B$18)+IF(A52&gt;$B$29,$B$30*12,0)</f>
        <v>0</v>
      </c>
      <c r="E52" s="23" t="n">
        <f aca="false">B52-C52+D52</f>
        <v>113930.376852727</v>
      </c>
      <c r="F52" s="23" t="n">
        <f aca="false">IF(A52&lt;$B$15,0,IF(A52-$B$15&gt;=$G$29,0,MAX(0,FV($B$11/12,(A52-$B$15)*12,$G$30,-$G$26))))</f>
        <v>177501.303291579</v>
      </c>
      <c r="G52" s="23" t="n">
        <f aca="false">IF(A52&lt;$B$15,G51*(1+$B$18)+($B$30-$B$14)*12,IF(A52=$B$15,MAX(0,$G$25-$G$24),G51*(1+$B$18)+IF(A52-$B$15&lt;=$G$29,($B$30-$G$30)*12,$B$30*12)))</f>
        <v>-2302.54365972653</v>
      </c>
      <c r="H52" s="23" t="n">
        <f aca="false">IF(A52&lt;$B$15,B52*$B$6+G52,B52-F52+G52)</f>
        <v>82887.6582850741</v>
      </c>
      <c r="I52" s="34" t="n">
        <f aca="false">E52-H52</f>
        <v>31042.7185676524</v>
      </c>
    </row>
    <row r="53" customFormat="false" ht="15" hidden="false" customHeight="false" outlineLevel="0" collapsed="false">
      <c r="A53" s="5" t="n">
        <v>7</v>
      </c>
      <c r="B53" s="23" t="n">
        <f aca="false">$B$5*(1+$B$17)^A53</f>
        <v>270572.250393471</v>
      </c>
      <c r="C53" s="23" t="n">
        <f aca="false">IF(A53&gt;=$B$29,0,MAX(0,FV($B$11/12,A53*12,$B$30,-$B$25)))</f>
        <v>142803.545395931</v>
      </c>
      <c r="D53" s="23" t="n">
        <f aca="false">D52*(1+$B$18)+IF(A53&gt;$B$29,$B$30*12,0)</f>
        <v>0</v>
      </c>
      <c r="E53" s="23" t="n">
        <f aca="false">B53-C53+D53</f>
        <v>127768.70499754</v>
      </c>
      <c r="F53" s="23" t="n">
        <f aca="false">IF(A53&lt;$B$15,0,IF(A53-$B$15&gt;=$G$29,0,MAX(0,FV($B$11/12,(A53-$B$15)*12,$G$30,-$G$26))))</f>
        <v>171648.179989029</v>
      </c>
      <c r="G53" s="23" t="n">
        <f aca="false">IF(A53&lt;$B$15,G52*(1+$B$18)+($B$30-$B$14)*12,IF(A53=$B$15,MAX(0,$G$25-$G$24),G52*(1+$B$18)+IF(A53-$B$15&lt;=$G$29,($B$30-$G$30)*12,$B$30*12)))</f>
        <v>-3148.05741201548</v>
      </c>
      <c r="H53" s="23" t="n">
        <f aca="false">IF(A53&lt;$B$15,B53*$B$6+G53,B53-F53+G53)</f>
        <v>95776.0129924269</v>
      </c>
      <c r="I53" s="34" t="n">
        <f aca="false">E53-H53</f>
        <v>31992.6920051133</v>
      </c>
    </row>
    <row r="54" customFormat="false" ht="15" hidden="false" customHeight="false" outlineLevel="0" collapsed="false">
      <c r="A54" s="5" t="n">
        <v>8</v>
      </c>
      <c r="B54" s="23" t="n">
        <f aca="false">$B$5*(1+$B$17)^A54</f>
        <v>278689.417905276</v>
      </c>
      <c r="C54" s="23" t="n">
        <f aca="false">IF(A54&gt;=$B$29,0,MAX(0,FV($B$11/12,A54*12,$B$30,-$B$25)))</f>
        <v>136670.877501801</v>
      </c>
      <c r="D54" s="23" t="n">
        <f aca="false">D53*(1+$B$18)+IF(A54&gt;$B$29,$B$30*12,0)</f>
        <v>0</v>
      </c>
      <c r="E54" s="23" t="n">
        <f aca="false">B54-C54+D54</f>
        <v>142018.540403475</v>
      </c>
      <c r="F54" s="23" t="n">
        <f aca="false">IF(A54&lt;$B$15,0,IF(A54-$B$15&gt;=$G$29,0,MAX(0,FV($B$11/12,(A54-$B$15)*12,$G$30,-$G$26))))</f>
        <v>165623.041701923</v>
      </c>
      <c r="G54" s="23" t="n">
        <f aca="false">IF(A54&lt;$B$15,G53*(1+$B$18)+($B$30-$B$14)*12,IF(A54=$B$15,MAX(0,$G$25-$G$24),G53*(1+$B$18)+IF(A54-$B$15&lt;=$G$29,($B$30-$G$30)*12,$B$30*12)))</f>
        <v>-4035.84685191888</v>
      </c>
      <c r="H54" s="23" t="n">
        <f aca="false">IF(A54&lt;$B$15,B54*$B$6+G54,B54-F54+G54)</f>
        <v>109030.529351434</v>
      </c>
      <c r="I54" s="34" t="n">
        <f aca="false">E54-H54</f>
        <v>32988.0110520411</v>
      </c>
    </row>
    <row r="55" customFormat="false" ht="15" hidden="false" customHeight="false" outlineLevel="0" collapsed="false">
      <c r="A55" s="5" t="n">
        <v>9</v>
      </c>
      <c r="B55" s="23" t="n">
        <f aca="false">$B$5*(1+$B$17)^A55</f>
        <v>287050.100442434</v>
      </c>
      <c r="C55" s="23" t="n">
        <f aca="false">IF(A55&gt;=$B$29,0,MAX(0,FV($B$11/12,A55*12,$B$30,-$B$25)))</f>
        <v>130357.97920442</v>
      </c>
      <c r="D55" s="23" t="n">
        <f aca="false">D54*(1+$B$18)+IF(A55&gt;$B$29,$B$30*12,0)</f>
        <v>0</v>
      </c>
      <c r="E55" s="23" t="n">
        <f aca="false">B55-C55+D55</f>
        <v>156692.121238014</v>
      </c>
      <c r="F55" s="23" t="n">
        <f aca="false">IF(A55&lt;$B$15,0,IF(A55-$B$15&gt;=$G$29,0,MAX(0,FV($B$11/12,(A55-$B$15)*12,$G$30,-$G$26))))</f>
        <v>159420.833154064</v>
      </c>
      <c r="G55" s="23" t="n">
        <f aca="false">IF(A55&lt;$B$15,G54*(1+$B$18)+($B$30-$B$14)*12,IF(A55=$B$15,MAX(0,$G$25-$G$24),G54*(1+$B$18)+IF(A55-$B$15&lt;=$G$29,($B$30-$G$30)*12,$B$30*12)))</f>
        <v>-4968.02576381745</v>
      </c>
      <c r="H55" s="23" t="n">
        <f aca="false">IF(A55&lt;$B$15,B55*$B$6+G55,B55-F55+G55)</f>
        <v>122661.241524552</v>
      </c>
      <c r="I55" s="34" t="n">
        <f aca="false">E55-H55</f>
        <v>34030.8797134615</v>
      </c>
    </row>
    <row r="56" customFormat="false" ht="15" hidden="false" customHeight="false" outlineLevel="0" collapsed="false">
      <c r="A56" s="5" t="n">
        <v>10</v>
      </c>
      <c r="B56" s="23" t="n">
        <f aca="false">$B$5*(1+$B$17)^A56</f>
        <v>295661.603455707</v>
      </c>
      <c r="C56" s="23" t="n">
        <f aca="false">IF(A56&gt;=$B$29,0,MAX(0,FV($B$11/12,A56*12,$B$30,-$B$25)))</f>
        <v>123859.553788099</v>
      </c>
      <c r="D56" s="23" t="n">
        <f aca="false">D55*(1+$B$18)+IF(A56&gt;$B$29,$B$30*12,0)</f>
        <v>0</v>
      </c>
      <c r="E56" s="23" t="n">
        <f aca="false">B56-C56+D56</f>
        <v>171802.049667608</v>
      </c>
      <c r="F56" s="23" t="n">
        <f aca="false">IF(A56&lt;$B$15,0,IF(A56-$B$15&gt;=$G$29,0,MAX(0,FV($B$11/12,(A56-$B$15)*12,$G$30,-$G$26))))</f>
        <v>153036.350501864</v>
      </c>
      <c r="G56" s="23" t="n">
        <f aca="false">IF(A56&lt;$B$15,G55*(1+$B$18)+($B$30-$B$14)*12,IF(A56=$B$15,MAX(0,$G$25-$G$24),G55*(1+$B$18)+IF(A56-$B$15&lt;=$G$29,($B$30-$G$30)*12,$B$30*12)))</f>
        <v>-5946.81362131095</v>
      </c>
      <c r="H56" s="23" t="n">
        <f aca="false">IF(A56&lt;$B$15,B56*$B$6+G56,B56-F56+G56)</f>
        <v>136678.439332532</v>
      </c>
      <c r="I56" s="34" t="n">
        <f aca="false">E56-H56</f>
        <v>35123.6103350761</v>
      </c>
    </row>
    <row r="57" customFormat="false" ht="15" hidden="false" customHeight="false" outlineLevel="0" collapsed="false">
      <c r="A57" s="5" t="n">
        <v>11</v>
      </c>
      <c r="B57" s="23" t="n">
        <f aca="false">$B$5*(1+$B$17)^A57</f>
        <v>304531.451559378</v>
      </c>
      <c r="C57" s="23" t="n">
        <f aca="false">IF(A57&gt;=$B$29,0,MAX(0,FV($B$11/12,A57*12,$B$30,-$B$25)))</f>
        <v>117170.148874192</v>
      </c>
      <c r="D57" s="23" t="n">
        <f aca="false">D56*(1+$B$18)+IF(A57&gt;$B$29,$B$30*12,0)</f>
        <v>0</v>
      </c>
      <c r="E57" s="23" t="n">
        <f aca="false">B57-C57+D57</f>
        <v>187361.302685186</v>
      </c>
      <c r="F57" s="23" t="n">
        <f aca="false">IF(A57&lt;$B$15,0,IF(A57-$B$15&gt;=$G$29,0,MAX(0,FV($B$11/12,(A57-$B$15)*12,$G$30,-$G$26))))</f>
        <v>146464.236968159</v>
      </c>
      <c r="G57" s="23" t="n">
        <f aca="false">IF(A57&lt;$B$15,G56*(1+$B$18)+($B$30-$B$14)*12,IF(A57=$B$15,MAX(0,$G$25-$G$24),G56*(1+$B$18)+IF(A57-$B$15&lt;=$G$29,($B$30-$G$30)*12,$B$30*12)))</f>
        <v>-6974.54087167912</v>
      </c>
      <c r="H57" s="23" t="n">
        <f aca="false">IF(A57&lt;$B$15,B57*$B$6+G57,B57-F57+G57)</f>
        <v>151092.67371954</v>
      </c>
      <c r="I57" s="34" t="n">
        <f aca="false">E57-H57</f>
        <v>36268.6289656457</v>
      </c>
    </row>
    <row r="58" customFormat="false" ht="15" hidden="false" customHeight="false" outlineLevel="0" collapsed="false">
      <c r="A58" s="5" t="n">
        <v>12</v>
      </c>
      <c r="B58" s="23" t="n">
        <f aca="false">$B$5*(1+$B$17)^A58</f>
        <v>313667.395106159</v>
      </c>
      <c r="C58" s="23" t="n">
        <f aca="false">IF(A58&gt;=$B$29,0,MAX(0,FV($B$11/12,A58*12,$B$30,-$B$25)))</f>
        <v>110284.151846388</v>
      </c>
      <c r="D58" s="23" t="n">
        <f aca="false">D57*(1+$B$18)+IF(A58&gt;$B$29,$B$30*12,0)</f>
        <v>0</v>
      </c>
      <c r="E58" s="23" t="n">
        <f aca="false">B58-C58+D58</f>
        <v>203383.243259771</v>
      </c>
      <c r="F58" s="23" t="n">
        <f aca="false">IF(A58&lt;$B$15,0,IF(A58-$B$15&gt;=$G$29,0,MAX(0,FV($B$11/12,(A58-$B$15)*12,$G$30,-$G$26))))</f>
        <v>139698.978347709</v>
      </c>
      <c r="G58" s="23" t="n">
        <f aca="false">IF(A58&lt;$B$15,G57*(1+$B$18)+($B$30-$B$14)*12,IF(A58=$B$15,MAX(0,$G$25-$G$24),G57*(1+$B$18)+IF(A58-$B$15&lt;=$G$29,($B$30-$G$30)*12,$B$30*12)))</f>
        <v>-8053.65448456571</v>
      </c>
      <c r="H58" s="23" t="n">
        <f aca="false">IF(A58&lt;$B$15,B58*$B$6+G58,B58-F58+G58)</f>
        <v>165914.762273885</v>
      </c>
      <c r="I58" s="34" t="n">
        <f aca="false">E58-H58</f>
        <v>37468.4809858866</v>
      </c>
    </row>
    <row r="59" customFormat="false" ht="15" hidden="false" customHeight="false" outlineLevel="0" collapsed="false">
      <c r="A59" s="5" t="n">
        <v>13</v>
      </c>
      <c r="B59" s="23" t="n">
        <f aca="false">$B$5*(1+$B$17)^A59</f>
        <v>323077.416959344</v>
      </c>
      <c r="C59" s="23" t="n">
        <f aca="false">IF(A59&gt;=$B$29,0,MAX(0,FV($B$11/12,A59*12,$B$30,-$B$25)))</f>
        <v>103195.785141548</v>
      </c>
      <c r="D59" s="23" t="n">
        <f aca="false">D58*(1+$B$18)+IF(A59&gt;$B$29,$B$30*12,0)</f>
        <v>0</v>
      </c>
      <c r="E59" s="23" t="n">
        <f aca="false">B59-C59+D59</f>
        <v>219881.631817796</v>
      </c>
      <c r="F59" s="23" t="n">
        <f aca="false">IF(A59&lt;$B$15,0,IF(A59-$B$15&gt;=$G$29,0,MAX(0,FV($B$11/12,(A59-$B$15)*12,$G$30,-$G$26))))</f>
        <v>132734.898380611</v>
      </c>
      <c r="G59" s="23" t="n">
        <f aca="false">IF(A59&lt;$B$15,G58*(1+$B$18)+($B$30-$B$14)*12,IF(A59=$B$15,MAX(0,$G$25-$G$24),G58*(1+$B$18)+IF(A59-$B$15&lt;=$G$29,($B$30-$G$30)*12,$B$30*12)))</f>
        <v>-9186.72377809662</v>
      </c>
      <c r="H59" s="23" t="n">
        <f aca="false">IF(A59&lt;$B$15,B59*$B$6+G59,B59-F59+G59)</f>
        <v>181155.794800637</v>
      </c>
      <c r="I59" s="34" t="n">
        <f aca="false">E59-H59</f>
        <v>38725.8370171594</v>
      </c>
    </row>
    <row r="60" customFormat="false" ht="15" hidden="false" customHeight="false" outlineLevel="0" collapsed="false">
      <c r="A60" s="5" t="n">
        <v>14</v>
      </c>
      <c r="B60" s="23" t="n">
        <f aca="false">$B$5*(1+$B$17)^A60</f>
        <v>332769.739468125</v>
      </c>
      <c r="C60" s="23" t="n">
        <f aca="false">IF(A60&gt;=$B$29,0,MAX(0,FV($B$11/12,A60*12,$B$30,-$B$25)))</f>
        <v>95899.1014021558</v>
      </c>
      <c r="D60" s="23" t="n">
        <f aca="false">D59*(1+$B$18)+IF(A60&gt;$B$29,$B$30*12,0)</f>
        <v>0</v>
      </c>
      <c r="E60" s="23" t="n">
        <f aca="false">B60-C60+D60</f>
        <v>236870.638065969</v>
      </c>
      <c r="F60" s="23" t="n">
        <f aca="false">IF(A60&lt;$B$15,0,IF(A60-$B$15&gt;=$G$29,0,MAX(0,FV($B$11/12,(A60-$B$15)*12,$G$30,-$G$26))))</f>
        <v>125566.153989741</v>
      </c>
      <c r="G60" s="23" t="n">
        <f aca="false">IF(A60&lt;$B$15,G59*(1+$B$18)+($B$30-$B$14)*12,IF(A60=$B$15,MAX(0,$G$25-$G$24),G59*(1+$B$18)+IF(A60-$B$15&lt;=$G$29,($B$30-$G$30)*12,$B$30*12)))</f>
        <v>-10376.4465363041</v>
      </c>
      <c r="H60" s="23" t="n">
        <f aca="false">IF(A60&lt;$B$15,B60*$B$6+G60,B60-F60+G60)</f>
        <v>196827.13894208</v>
      </c>
      <c r="I60" s="34" t="n">
        <f aca="false">E60-H60</f>
        <v>40043.4991238891</v>
      </c>
    </row>
    <row r="61" customFormat="false" ht="15" hidden="false" customHeight="false" outlineLevel="0" collapsed="false">
      <c r="A61" s="5" t="n">
        <v>15</v>
      </c>
      <c r="B61" s="23" t="n">
        <f aca="false">$B$5*(1+$B$17)^A61</f>
        <v>342752.831652168</v>
      </c>
      <c r="C61" s="23" t="n">
        <f aca="false">IF(A61&gt;=$B$29,0,MAX(0,FV($B$11/12,A61*12,$B$30,-$B$25)))</f>
        <v>88387.9784862997</v>
      </c>
      <c r="D61" s="23" t="n">
        <f aca="false">D60*(1+$B$18)+IF(A61&gt;$B$29,$B$30*12,0)</f>
        <v>0</v>
      </c>
      <c r="E61" s="23" t="n">
        <f aca="false">B61-C61+D61</f>
        <v>254364.853165869</v>
      </c>
      <c r="F61" s="23" t="n">
        <f aca="false">IF(A61&lt;$B$15,0,IF(A61-$B$15&gt;=$G$29,0,MAX(0,FV($B$11/12,(A61-$B$15)*12,$G$30,-$G$26))))</f>
        <v>118186.730378233</v>
      </c>
      <c r="G61" s="23" t="n">
        <f aca="false">IF(A61&lt;$B$15,G60*(1+$B$18)+($B$30-$B$14)*12,IF(A61=$B$15,MAX(0,$G$25-$G$24),G60*(1+$B$18)+IF(A61-$B$15&lt;=$G$29,($B$30-$G$30)*12,$B$30*12)))</f>
        <v>-11625.6554324219</v>
      </c>
      <c r="H61" s="23" t="n">
        <f aca="false">IF(A61&lt;$B$15,B61*$B$6+G61,B61-F61+G61)</f>
        <v>212940.445841514</v>
      </c>
      <c r="I61" s="34" t="n">
        <f aca="false">E61-H61</f>
        <v>41424.4073243548</v>
      </c>
    </row>
    <row r="62" customFormat="false" ht="15" hidden="false" customHeight="false" outlineLevel="0" collapsed="false">
      <c r="A62" s="5" t="n">
        <v>16</v>
      </c>
      <c r="B62" s="23" t="n">
        <f aca="false">$B$5*(1+$B$17)^A62</f>
        <v>353035.416601733</v>
      </c>
      <c r="C62" s="23" t="n">
        <f aca="false">IF(A62&gt;=$B$29,0,MAX(0,FV($B$11/12,A62*12,$B$30,-$B$25)))</f>
        <v>80656.1143310093</v>
      </c>
      <c r="D62" s="23" t="n">
        <f aca="false">D61*(1+$B$18)+IF(A62&gt;$B$29,$B$30*12,0)</f>
        <v>0</v>
      </c>
      <c r="E62" s="23" t="n">
        <f aca="false">B62-C62+D62</f>
        <v>272379.302270724</v>
      </c>
      <c r="F62" s="23" t="n">
        <f aca="false">IF(A62&lt;$B$15,0,IF(A62-$B$15&gt;=$G$29,0,MAX(0,FV($B$11/12,(A62-$B$15)*12,$G$30,-$G$26))))</f>
        <v>110590.43598288</v>
      </c>
      <c r="G62" s="23" t="n">
        <f aca="false">IF(A62&lt;$B$15,G61*(1+$B$18)+($B$30-$B$14)*12,IF(A62=$B$15,MAX(0,$G$25-$G$24),G61*(1+$B$18)+IF(A62-$B$15&lt;=$G$29,($B$30-$G$30)*12,$B$30*12)))</f>
        <v>-12937.3247733456</v>
      </c>
      <c r="H62" s="23" t="n">
        <f aca="false">IF(A62&lt;$B$15,B62*$B$6+G62,B62-F62+G62)</f>
        <v>229507.655845508</v>
      </c>
      <c r="I62" s="34" t="n">
        <f aca="false">E62-H62</f>
        <v>42871.6464252161</v>
      </c>
    </row>
    <row r="63" customFormat="false" ht="15" hidden="false" customHeight="false" outlineLevel="0" collapsed="false">
      <c r="A63" s="5" t="n">
        <v>17</v>
      </c>
      <c r="B63" s="23" t="n">
        <f aca="false">$B$5*(1+$B$17)^A63</f>
        <v>363626.479099785</v>
      </c>
      <c r="C63" s="23" t="n">
        <f aca="false">IF(A63&gt;=$B$29,0,MAX(0,FV($B$11/12,A63*12,$B$30,-$B$25)))</f>
        <v>72697.0216646301</v>
      </c>
      <c r="D63" s="23" t="n">
        <f aca="false">D62*(1+$B$18)+IF(A63&gt;$B$29,$B$30*12,0)</f>
        <v>0</v>
      </c>
      <c r="E63" s="23" t="n">
        <f aca="false">B63-C63+D63</f>
        <v>290929.457435155</v>
      </c>
      <c r="F63" s="23" t="n">
        <f aca="false">IF(A63&lt;$B$15,0,IF(A63-$B$15&gt;=$G$29,0,MAX(0,FV($B$11/12,(A63-$B$15)*12,$G$30,-$G$26))))</f>
        <v>102770.897279223</v>
      </c>
      <c r="G63" s="23" t="n">
        <f aca="false">IF(A63&lt;$B$15,G62*(1+$B$18)+($B$30-$B$14)*12,IF(A63=$B$15,MAX(0,$G$25-$G$24),G62*(1+$B$18)+IF(A63-$B$15&lt;=$G$29,($B$30-$G$30)*12,$B$30*12)))</f>
        <v>-14314.5775813155</v>
      </c>
      <c r="H63" s="23" t="n">
        <f aca="false">IF(A63&lt;$B$15,B63*$B$6+G63,B63-F63+G63)</f>
        <v>246541.004239247</v>
      </c>
      <c r="I63" s="34" t="n">
        <f aca="false">E63-H63</f>
        <v>44388.4531959083</v>
      </c>
    </row>
    <row r="64" customFormat="false" ht="15" hidden="false" customHeight="false" outlineLevel="0" collapsed="false">
      <c r="A64" s="5" t="n">
        <v>18</v>
      </c>
      <c r="B64" s="23" t="n">
        <f aca="false">$B$5*(1+$B$17)^A64</f>
        <v>374535.273472779</v>
      </c>
      <c r="C64" s="23" t="n">
        <f aca="false">IF(A64&gt;=$B$29,0,MAX(0,FV($B$11/12,A64*12,$B$30,-$B$25)))</f>
        <v>64504.0225638028</v>
      </c>
      <c r="D64" s="23" t="n">
        <f aca="false">D63*(1+$B$18)+IF(A64&gt;$B$29,$B$30*12,0)</f>
        <v>0</v>
      </c>
      <c r="E64" s="23" t="n">
        <f aca="false">B64-C64+D64</f>
        <v>310031.250908976</v>
      </c>
      <c r="F64" s="23" t="n">
        <f aca="false">IF(A64&lt;$B$15,0,IF(A64-$B$15&gt;=$G$29,0,MAX(0,FV($B$11/12,(A64-$B$15)*12,$G$30,-$G$26))))</f>
        <v>94721.5534339665</v>
      </c>
      <c r="G64" s="23" t="n">
        <f aca="false">IF(A64&lt;$B$15,G63*(1+$B$18)+($B$30-$B$14)*12,IF(A64=$B$15,MAX(0,$G$25-$G$24),G63*(1+$B$18)+IF(A64-$B$15&lt;=$G$29,($B$30-$G$30)*12,$B$30*12)))</f>
        <v>-15760.6930296839</v>
      </c>
      <c r="H64" s="23" t="n">
        <f aca="false">IF(A64&lt;$B$15,B64*$B$6+G64,B64-F64+G64)</f>
        <v>264053.027009129</v>
      </c>
      <c r="I64" s="34" t="n">
        <f aca="false">E64-H64</f>
        <v>45978.2238998477</v>
      </c>
    </row>
    <row r="65" customFormat="false" ht="15" hidden="false" customHeight="false" outlineLevel="0" collapsed="false">
      <c r="A65" s="5" t="n">
        <v>19</v>
      </c>
      <c r="B65" s="23" t="n">
        <f aca="false">$B$5*(1+$B$17)^A65</f>
        <v>385771.331676962</v>
      </c>
      <c r="C65" s="23" t="n">
        <f aca="false">IF(A65&gt;=$B$29,0,MAX(0,FV($B$11/12,A65*12,$B$30,-$B$25)))</f>
        <v>56070.242850481</v>
      </c>
      <c r="D65" s="23" t="n">
        <f aca="false">D64*(1+$B$18)+IF(A65&gt;$B$29,$B$30*12,0)</f>
        <v>0</v>
      </c>
      <c r="E65" s="23" t="n">
        <f aca="false">B65-C65+D65</f>
        <v>329701.088826481</v>
      </c>
      <c r="F65" s="23" t="n">
        <f aca="false">IF(A65&lt;$B$15,0,IF(A65-$B$15&gt;=$G$29,0,MAX(0,FV($B$11/12,(A65-$B$15)*12,$G$30,-$G$26))))</f>
        <v>86435.6508002387</v>
      </c>
      <c r="G65" s="23" t="n">
        <f aca="false">IF(A65&lt;$B$15,G64*(1+$B$18)+($B$30-$B$14)*12,IF(A65=$B$15,MAX(0,$G$25-$G$24),G64*(1+$B$18)+IF(A65-$B$15&lt;=$G$29,($B$30-$G$30)*12,$B$30*12)))</f>
        <v>-17279.1142504708</v>
      </c>
      <c r="H65" s="23" t="n">
        <f aca="false">IF(A65&lt;$B$15,B65*$B$6+G65,B65-F65+G65)</f>
        <v>282056.566626253</v>
      </c>
      <c r="I65" s="34" t="n">
        <f aca="false">E65-H65</f>
        <v>47644.5222002284</v>
      </c>
    </row>
    <row r="66" customFormat="false" ht="15" hidden="false" customHeight="false" outlineLevel="0" collapsed="false">
      <c r="A66" s="5" t="n">
        <v>20</v>
      </c>
      <c r="B66" s="23" t="n">
        <f aca="false">$B$5*(1+$B$17)^A66</f>
        <v>397344.471627271</v>
      </c>
      <c r="C66" s="23" t="n">
        <f aca="false">IF(A66&gt;=$B$29,0,MAX(0,FV($B$11/12,A66*12,$B$30,-$B$25)))</f>
        <v>47388.6063242846</v>
      </c>
      <c r="D66" s="23" t="n">
        <f aca="false">D65*(1+$B$18)+IF(A66&gt;$B$29,$B$30*12,0)</f>
        <v>0</v>
      </c>
      <c r="E66" s="23" t="n">
        <f aca="false">B66-C66+D66</f>
        <v>349955.865302987</v>
      </c>
      <c r="F66" s="23" t="n">
        <f aca="false">IF(A66&lt;$B$15,0,IF(A66-$B$15&gt;=$G$29,0,MAX(0,FV($B$11/12,(A66-$B$15)*12,$G$30,-$G$26))))</f>
        <v>77906.2372510738</v>
      </c>
      <c r="G66" s="23" t="n">
        <f aca="false">IF(A66&lt;$B$15,G65*(1+$B$18)+($B$30-$B$14)*12,IF(A66=$B$15,MAX(0,$G$25-$G$24),G65*(1+$B$18)+IF(A66-$B$15&lt;=$G$29,($B$30-$G$30)*12,$B$30*12)))</f>
        <v>-18873.4565322969</v>
      </c>
      <c r="H66" s="23" t="n">
        <f aca="false">IF(A66&lt;$B$15,B66*$B$6+G66,B66-F66+G66)</f>
        <v>300564.777843901</v>
      </c>
      <c r="I66" s="34" t="n">
        <f aca="false">E66-H66</f>
        <v>49391.0874590862</v>
      </c>
    </row>
    <row r="67" customFormat="false" ht="15" hidden="false" customHeight="false" outlineLevel="0" collapsed="false">
      <c r="A67" s="5" t="n">
        <v>21</v>
      </c>
      <c r="B67" s="23" t="n">
        <f aca="false">$B$5*(1+$B$17)^A67</f>
        <v>409264.805776089</v>
      </c>
      <c r="C67" s="23" t="n">
        <f aca="false">IF(A67&gt;=$B$29,0,MAX(0,FV($B$11/12,A67*12,$B$30,-$B$25)))</f>
        <v>38451.8288253497</v>
      </c>
      <c r="D67" s="23" t="n">
        <f aca="false">D66*(1+$B$18)+IF(A67&gt;$B$29,$B$30*12,0)</f>
        <v>0</v>
      </c>
      <c r="E67" s="23" t="n">
        <f aca="false">B67-C67+D67</f>
        <v>370812.97695074</v>
      </c>
      <c r="F67" s="23" t="n">
        <f aca="false">IF(A67&lt;$B$15,0,IF(A67-$B$15&gt;=$G$29,0,MAX(0,FV($B$11/12,(A67-$B$15)*12,$G$30,-$G$26))))</f>
        <v>69126.1563463641</v>
      </c>
      <c r="G67" s="23" t="n">
        <f aca="false">IF(A67&lt;$B$15,G66*(1+$B$18)+($B$30-$B$14)*12,IF(A67=$B$15,MAX(0,$G$25-$G$24),G66*(1+$B$18)+IF(A67-$B$15&lt;=$G$29,($B$30-$G$30)*12,$B$30*12)))</f>
        <v>-20547.5159282144</v>
      </c>
      <c r="H67" s="23" t="n">
        <f aca="false">IF(A67&lt;$B$15,B67*$B$6+G67,B67-F67+G67)</f>
        <v>319591.133501511</v>
      </c>
      <c r="I67" s="34" t="n">
        <f aca="false">E67-H67</f>
        <v>51221.8434492288</v>
      </c>
    </row>
    <row r="68" customFormat="false" ht="15" hidden="false" customHeight="false" outlineLevel="0" collapsed="false">
      <c r="A68" s="5" t="n">
        <v>22</v>
      </c>
      <c r="B68" s="23" t="n">
        <f aca="false">$B$5*(1+$B$17)^A68</f>
        <v>421542.749949372</v>
      </c>
      <c r="C68" s="23" t="n">
        <f aca="false">IF(A68&gt;=$B$29,0,MAX(0,FV($B$11/12,A68*12,$B$30,-$B$25)))</f>
        <v>29252.4121226948</v>
      </c>
      <c r="D68" s="23" t="n">
        <f aca="false">D67*(1+$B$18)+IF(A68&gt;$B$29,$B$30*12,0)</f>
        <v>0</v>
      </c>
      <c r="E68" s="23" t="n">
        <f aca="false">B68-C68+D68</f>
        <v>392290.337826677</v>
      </c>
      <c r="F68" s="23" t="n">
        <f aca="false">IF(A68&lt;$B$15,0,IF(A68-$B$15&gt;=$G$29,0,MAX(0,FV($B$11/12,(A68-$B$15)*12,$G$30,-$G$26))))</f>
        <v>60088.0413283865</v>
      </c>
      <c r="G68" s="23" t="n">
        <f aca="false">IF(A68&lt;$B$15,G67*(1+$B$18)+($B$30-$B$14)*12,IF(A68=$B$15,MAX(0,$G$25-$G$24),G67*(1+$B$18)+IF(A68-$B$15&lt;=$G$29,($B$30-$G$30)*12,$B$30*12)))</f>
        <v>-22305.2782939278</v>
      </c>
      <c r="H68" s="23" t="n">
        <f aca="false">IF(A68&lt;$B$15,B68*$B$6+G68,B68-F68+G68)</f>
        <v>339149.430327058</v>
      </c>
      <c r="I68" s="34" t="n">
        <f aca="false">E68-H68</f>
        <v>53140.9074996194</v>
      </c>
    </row>
    <row r="69" customFormat="false" ht="15" hidden="false" customHeight="false" outlineLevel="0" collapsed="false">
      <c r="A69" s="5" t="n">
        <v>23</v>
      </c>
      <c r="B69" s="23" t="n">
        <f aca="false">$B$5*(1+$B$17)^A69</f>
        <v>434189.032447853</v>
      </c>
      <c r="C69" s="23" t="n">
        <f aca="false">IF(A69&gt;=$B$29,0,MAX(0,FV($B$11/12,A69*12,$B$30,-$B$25)))</f>
        <v>19782.6376229747</v>
      </c>
      <c r="D69" s="23" t="n">
        <f aca="false">D68*(1+$B$18)+IF(A69&gt;$B$29,$B$30*12,0)</f>
        <v>0</v>
      </c>
      <c r="E69" s="23" t="n">
        <f aca="false">B69-C69+D69</f>
        <v>414406.394824879</v>
      </c>
      <c r="F69" s="23" t="n">
        <f aca="false">IF(A69&lt;$B$15,0,IF(A69-$B$15&gt;=$G$29,0,MAX(0,FV($B$11/12,(A69-$B$15)*12,$G$30,-$G$26))))</f>
        <v>50784.3089408667</v>
      </c>
      <c r="G69" s="23" t="n">
        <f aca="false">IF(A69&lt;$B$15,G68*(1+$B$18)+($B$30-$B$14)*12,IF(A69=$B$15,MAX(0,$G$25-$G$24),G68*(1+$B$18)+IF(A69-$B$15&lt;=$G$29,($B$30-$G$30)*12,$B$30*12)))</f>
        <v>-24150.9287779268</v>
      </c>
      <c r="H69" s="23" t="n">
        <f aca="false">IF(A69&lt;$B$15,B69*$B$6+G69,B69-F69+G69)</f>
        <v>359253.79472906</v>
      </c>
      <c r="I69" s="34" t="n">
        <f aca="false">E69-H69</f>
        <v>55152.6000958188</v>
      </c>
    </row>
    <row r="70" customFormat="false" ht="15" hidden="false" customHeight="false" outlineLevel="0" collapsed="false">
      <c r="A70" s="5" t="n">
        <v>24</v>
      </c>
      <c r="B70" s="23" t="n">
        <f aca="false">$B$5*(1+$B$17)^A70</f>
        <v>447214.703421289</v>
      </c>
      <c r="C70" s="23" t="n">
        <f aca="false">IF(A70&gt;=$B$29,0,MAX(0,FV($B$11/12,A70*12,$B$30,-$B$25)))</f>
        <v>10034.5598943435</v>
      </c>
      <c r="D70" s="23" t="n">
        <f aca="false">D69*(1+$B$18)+IF(A70&gt;$B$29,$B$30*12,0)</f>
        <v>0</v>
      </c>
      <c r="E70" s="23" t="n">
        <f aca="false">B70-C70+D70</f>
        <v>437180.143526945</v>
      </c>
      <c r="F70" s="23" t="n">
        <f aca="false">IF(A70&lt;$B$15,0,IF(A70-$B$15&gt;=$G$29,0,MAX(0,FV($B$11/12,(A70-$B$15)*12,$G$30,-$G$26))))</f>
        <v>41207.153066394</v>
      </c>
      <c r="G70" s="23" t="n">
        <f aca="false">IF(A70&lt;$B$15,G69*(1+$B$18)+($B$30-$B$14)*12,IF(A70=$B$15,MAX(0,$G$25-$G$24),G69*(1+$B$18)+IF(A70-$B$15&lt;=$G$29,($B$30-$G$30)*12,$B$30*12)))</f>
        <v>-26088.8617861257</v>
      </c>
      <c r="H70" s="23" t="n">
        <f aca="false">IF(A70&lt;$B$15,B70*$B$6+G70,B70-F70+G70)</f>
        <v>379918.688568769</v>
      </c>
      <c r="I70" s="34" t="n">
        <f aca="false">E70-H70</f>
        <v>57261.4549581762</v>
      </c>
    </row>
    <row r="71" customFormat="false" ht="15" hidden="false" customHeight="false" outlineLevel="0" collapsed="false">
      <c r="A71" s="5" t="n">
        <v>25</v>
      </c>
      <c r="B71" s="23" t="n">
        <f aca="false">$B$5*(1+$B$17)^A71</f>
        <v>460631.144523928</v>
      </c>
      <c r="C71" s="23" t="n">
        <f aca="false">IF(A71&gt;=$B$29,0,MAX(0,FV($B$11/12,A71*12,$B$30,-$B$25)))</f>
        <v>0</v>
      </c>
      <c r="D71" s="23" t="n">
        <f aca="false">D70*(1+$B$18)+IF(A71&gt;$B$29,$B$30*12,0)</f>
        <v>0</v>
      </c>
      <c r="E71" s="23" t="n">
        <f aca="false">B71-C71+D71</f>
        <v>460631.144523928</v>
      </c>
      <c r="F71" s="23" t="n">
        <f aca="false">IF(A71&lt;$B$15,0,IF(A71-$B$15&gt;=$G$29,0,MAX(0,FV($B$11/12,(A71-$B$15)*12,$G$30,-$G$26))))</f>
        <v>31348.5381768486</v>
      </c>
      <c r="G71" s="23" t="n">
        <f aca="false">IF(A71&lt;$B$15,G70*(1+$B$18)+($B$30-$B$14)*12,IF(A71=$B$15,MAX(0,$G$25-$G$24),G70*(1+$B$18)+IF(A71-$B$15&lt;=$G$29,($B$30-$G$30)*12,$B$30*12)))</f>
        <v>-28123.6914447347</v>
      </c>
      <c r="H71" s="23" t="n">
        <f aca="false">IF(A71&lt;$B$15,B71*$B$6+G71,B71-F71+G71)</f>
        <v>401158.914902344</v>
      </c>
      <c r="I71" s="34" t="n">
        <f aca="false">E71-H71</f>
        <v>59472.2296215833</v>
      </c>
    </row>
    <row r="72" customFormat="false" ht="15" hidden="false" customHeight="false" outlineLevel="0" collapsed="false">
      <c r="A72" s="5" t="n">
        <v>26</v>
      </c>
      <c r="B72" s="23" t="n">
        <f aca="false">$B$5*(1+$B$17)^A72</f>
        <v>474450.078859645</v>
      </c>
      <c r="C72" s="23" t="n">
        <f aca="false">IF(A72&gt;=$B$29,0,MAX(0,FV($B$11/12,A72*12,$B$30,-$B$25)))</f>
        <v>0</v>
      </c>
      <c r="D72" s="23" t="n">
        <f aca="false">D71*(1+$B$18)+IF(A72&gt;$B$29,$B$30*12,0)</f>
        <v>10192.8836253821</v>
      </c>
      <c r="E72" s="23" t="n">
        <f aca="false">B72-C72+D72</f>
        <v>484642.962485028</v>
      </c>
      <c r="F72" s="23" t="n">
        <f aca="false">IF(A72&lt;$B$15,0,IF(A72-$B$15&gt;=$G$29,0,MAX(0,FV($B$11/12,(A72-$B$15)*12,$G$30,-$G$26))))</f>
        <v>21200.192591347</v>
      </c>
      <c r="G72" s="23" t="n">
        <f aca="false">IF(A72&lt;$B$15,G71*(1+$B$18)+($B$30-$B$14)*12,IF(A72=$B$15,MAX(0,$G$25-$G$24),G71*(1+$B$18)+IF(A72-$B$15&lt;=$G$29,($B$30-$G$30)*12,$B$30*12)))</f>
        <v>-30260.262586274</v>
      </c>
      <c r="H72" s="23" t="n">
        <f aca="false">IF(A72&lt;$B$15,B72*$B$6+G72,B72-F72+G72)</f>
        <v>422989.623682024</v>
      </c>
      <c r="I72" s="34" t="n">
        <f aca="false">E72-H72</f>
        <v>61653.3388030031</v>
      </c>
    </row>
    <row r="73" customFormat="false" ht="15" hidden="false" customHeight="false" outlineLevel="0" collapsed="false">
      <c r="A73" s="5" t="n">
        <v>27</v>
      </c>
      <c r="B73" s="23" t="n">
        <f aca="false">$B$5*(1+$B$17)^A73</f>
        <v>488683.581225435</v>
      </c>
      <c r="C73" s="23" t="n">
        <f aca="false">IF(A73&gt;=$B$29,0,MAX(0,FV($B$11/12,A73*12,$B$30,-$B$25)))</f>
        <v>0</v>
      </c>
      <c r="D73" s="23" t="n">
        <f aca="false">D72*(1+$B$18)+IF(A73&gt;$B$29,$B$30*12,0)</f>
        <v>20895.4114320332</v>
      </c>
      <c r="E73" s="23" t="n">
        <f aca="false">B73-C73+D73</f>
        <v>509578.992657468</v>
      </c>
      <c r="F73" s="23" t="n">
        <f aca="false">IF(A73&lt;$B$15,0,IF(A73-$B$15&gt;=$G$29,0,MAX(0,FV($B$11/12,(A73-$B$15)*12,$G$30,-$G$26))))</f>
        <v>10753.6015360474</v>
      </c>
      <c r="G73" s="23" t="n">
        <f aca="false">IF(A73&lt;$B$15,G72*(1+$B$18)+($B$30-$B$14)*12,IF(A73=$B$15,MAX(0,$G$25-$G$24),G72*(1+$B$18)+IF(A73-$B$15&lt;=$G$29,($B$30-$G$30)*12,$B$30*12)))</f>
        <v>-32503.6622848903</v>
      </c>
      <c r="H73" s="23" t="n">
        <f aca="false">IF(A73&lt;$B$15,B73*$B$6+G73,B73-F73+G73)</f>
        <v>445426.317404497</v>
      </c>
      <c r="I73" s="34" t="n">
        <f aca="false">E73-H73</f>
        <v>64152.675252971</v>
      </c>
    </row>
    <row r="74" customFormat="false" ht="15" hidden="false" customHeight="false" outlineLevel="0" collapsed="false">
      <c r="A74" s="5" t="n">
        <v>28</v>
      </c>
      <c r="B74" s="23" t="n">
        <f aca="false">$B$5*(1+$B$17)^A74</f>
        <v>503344.088662198</v>
      </c>
      <c r="C74" s="23" t="n">
        <f aca="false">IF(A74&gt;=$B$29,0,MAX(0,FV($B$11/12,A74*12,$B$30,-$B$25)))</f>
        <v>0</v>
      </c>
      <c r="D74" s="23" t="n">
        <f aca="false">D73*(1+$B$18)+IF(A74&gt;$B$29,$B$30*12,0)</f>
        <v>32133.065629017</v>
      </c>
      <c r="E74" s="23" t="n">
        <f aca="false">B74-C74+D74</f>
        <v>535477.154291215</v>
      </c>
      <c r="F74" s="23" t="n">
        <f aca="false">IF(A74&lt;$B$15,0,IF(A74-$B$15&gt;=$G$29,0,MAX(0,FV($B$11/12,(A74-$B$15)*12,$G$30,-$G$26))))</f>
        <v>0</v>
      </c>
      <c r="G74" s="23" t="n">
        <f aca="false">IF(A74&lt;$B$15,G73*(1+$B$18)+($B$30-$B$14)*12,IF(A74=$B$15,MAX(0,$G$25-$G$24),G73*(1+$B$18)+IF(A74-$B$15&lt;=$G$29,($B$30-$G$30)*12,$B$30*12)))</f>
        <v>-34859.2319684375</v>
      </c>
      <c r="H74" s="23" t="n">
        <f aca="false">IF(A74&lt;$B$15,B74*$B$6+G74,B74-F74+G74)</f>
        <v>468484.85669376</v>
      </c>
      <c r="I74" s="34" t="n">
        <f aca="false">E74-H74</f>
        <v>66992.2975974545</v>
      </c>
    </row>
    <row r="75" customFormat="false" ht="15" hidden="false" customHeight="false" outlineLevel="0" collapsed="false">
      <c r="A75" s="5" t="n">
        <v>29</v>
      </c>
      <c r="B75" s="23" t="n">
        <f aca="false">$B$5*(1+$B$17)^A75</f>
        <v>518444.411322064</v>
      </c>
      <c r="C75" s="23" t="n">
        <f aca="false">IF(A75&gt;=$B$29,0,MAX(0,FV($B$11/12,A75*12,$B$30,-$B$25)))</f>
        <v>0</v>
      </c>
      <c r="D75" s="23" t="n">
        <f aca="false">D74*(1+$B$18)+IF(A75&gt;$B$29,$B$30*12,0)</f>
        <v>43932.6025358499</v>
      </c>
      <c r="E75" s="23" t="n">
        <f aca="false">B75-C75+D75</f>
        <v>562377.013857914</v>
      </c>
      <c r="F75" s="23" t="n">
        <f aca="false">IF(A75&lt;$B$15,0,IF(A75-$B$15&gt;=$G$29,0,MAX(0,FV($B$11/12,(A75-$B$15)*12,$G$30,-$G$26))))</f>
        <v>0</v>
      </c>
      <c r="G75" s="23" t="n">
        <f aca="false">IF(A75&lt;$B$15,G74*(1+$B$18)+($B$30-$B$14)*12,IF(A75=$B$15,MAX(0,$G$25-$G$24),G74*(1+$B$18)+IF(A75-$B$15&lt;=$G$29,($B$30-$G$30)*12,$B$30*12)))</f>
        <v>-26409.3099414773</v>
      </c>
      <c r="H75" s="23" t="n">
        <f aca="false">IF(A75&lt;$B$15,B75*$B$6+G75,B75-F75+G75)</f>
        <v>492035.101380586</v>
      </c>
      <c r="I75" s="34" t="n">
        <f aca="false">E75-H75</f>
        <v>70341.9124773272</v>
      </c>
    </row>
    <row r="76" customFormat="false" ht="15" hidden="false" customHeight="false" outlineLevel="0" collapsed="false">
      <c r="A76" s="5" t="n">
        <v>30</v>
      </c>
      <c r="B76" s="23" t="n">
        <f aca="false">$B$5*(1+$B$17)^A76</f>
        <v>533997.743661726</v>
      </c>
      <c r="C76" s="23" t="n">
        <f aca="false">IF(A76&gt;=$B$29,0,MAX(0,FV($B$11/12,A76*12,$B$30,-$B$25)))</f>
        <v>0</v>
      </c>
      <c r="D76" s="23" t="n">
        <f aca="false">D75*(1+$B$18)+IF(A76&gt;$B$29,$B$30*12,0)</f>
        <v>56322.1162880244</v>
      </c>
      <c r="E76" s="23" t="n">
        <f aca="false">B76-C76+D76</f>
        <v>590319.85994975</v>
      </c>
      <c r="F76" s="23" t="n">
        <f aca="false">IF(A76&lt;$B$15,0,IF(A76-$B$15&gt;=$G$29,0,MAX(0,FV($B$11/12,(A76-$B$15)*12,$G$30,-$G$26))))</f>
        <v>0</v>
      </c>
      <c r="G76" s="23" t="n">
        <f aca="false">IF(A76&lt;$B$15,G75*(1+$B$18)+($B$30-$B$14)*12,IF(A76=$B$15,MAX(0,$G$25-$G$24),G75*(1+$B$18)+IF(A76-$B$15&lt;=$G$29,($B$30-$G$30)*12,$B$30*12)))</f>
        <v>-17536.8918131691</v>
      </c>
      <c r="H76" s="23" t="n">
        <f aca="false">IF(A76&lt;$B$15,B76*$B$6+G76,B76-F76+G76)</f>
        <v>516460.851848557</v>
      </c>
      <c r="I76" s="34" t="n">
        <f aca="false">E76-H76</f>
        <v>73859.0081011936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52"/>
  </cols>
  <sheetData>
    <row r="1" customFormat="false" ht="30" hidden="false" customHeight="true" outlineLevel="0" collapsed="false">
      <c r="A1" s="1" t="s">
        <v>717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718</v>
      </c>
    </row>
    <row r="4" customFormat="false" ht="22.35" hidden="false" customHeight="false" outlineLevel="0" collapsed="false">
      <c r="A4" s="22" t="s">
        <v>719</v>
      </c>
      <c r="B4" s="22" t="s">
        <v>720</v>
      </c>
      <c r="C4" s="22" t="s">
        <v>721</v>
      </c>
      <c r="D4" s="22" t="s">
        <v>722</v>
      </c>
      <c r="E4" s="22" t="s">
        <v>723</v>
      </c>
      <c r="F4" s="22" t="s">
        <v>724</v>
      </c>
      <c r="G4" s="22" t="s">
        <v>725</v>
      </c>
      <c r="H4" s="22" t="s">
        <v>112</v>
      </c>
    </row>
    <row r="5" customFormat="false" ht="15" hidden="false" customHeight="false" outlineLevel="0" collapsed="false">
      <c r="A5" s="49" t="s">
        <v>726</v>
      </c>
      <c r="B5" s="24" t="n">
        <f aca="false">VIVIENDA!$B$5</f>
        <v>220000</v>
      </c>
      <c r="C5" s="30" t="n">
        <f aca="false">VIVIENDA!$B$6</f>
        <v>0</v>
      </c>
      <c r="D5" s="23" t="n">
        <f aca="false">IF(B5="",0,B5*C5)</f>
        <v>0</v>
      </c>
      <c r="E5" s="28" t="n">
        <v>0</v>
      </c>
      <c r="F5" s="28" t="n">
        <v>0</v>
      </c>
      <c r="G5" s="65" t="n">
        <f aca="false">PARÁMETROS!$B$19</f>
        <v>0.03</v>
      </c>
      <c r="H5" s="40" t="s">
        <v>727</v>
      </c>
    </row>
    <row r="6" customFormat="false" ht="15" hidden="false" customHeight="false" outlineLevel="0" collapsed="false">
      <c r="A6" s="49"/>
      <c r="B6" s="28"/>
      <c r="C6" s="29"/>
      <c r="D6" s="23" t="n">
        <f aca="false">IF(B6="",0,B6*C6)</f>
        <v>0</v>
      </c>
      <c r="E6" s="28"/>
      <c r="F6" s="28"/>
      <c r="G6" s="59"/>
      <c r="H6" s="40"/>
    </row>
    <row r="7" customFormat="false" ht="15" hidden="false" customHeight="false" outlineLevel="0" collapsed="false">
      <c r="A7" s="49"/>
      <c r="B7" s="28"/>
      <c r="C7" s="29"/>
      <c r="D7" s="23" t="n">
        <f aca="false">IF(B7="",0,B7*C7)</f>
        <v>0</v>
      </c>
      <c r="E7" s="28"/>
      <c r="F7" s="28"/>
      <c r="G7" s="59"/>
      <c r="H7" s="40"/>
    </row>
    <row r="8" customFormat="false" ht="15" hidden="false" customHeight="false" outlineLevel="0" collapsed="false">
      <c r="A8" s="49"/>
      <c r="B8" s="28"/>
      <c r="C8" s="29"/>
      <c r="D8" s="23" t="n">
        <f aca="false">IF(B8="",0,B8*C8)</f>
        <v>0</v>
      </c>
      <c r="E8" s="28"/>
      <c r="F8" s="28"/>
      <c r="G8" s="59"/>
      <c r="H8" s="40"/>
    </row>
    <row r="9" customFormat="false" ht="15" hidden="false" customHeight="false" outlineLevel="0" collapsed="false">
      <c r="A9" s="49"/>
      <c r="B9" s="28"/>
      <c r="C9" s="29"/>
      <c r="D9" s="23" t="n">
        <f aca="false">IF(B9="",0,B9*C9)</f>
        <v>0</v>
      </c>
      <c r="E9" s="28"/>
      <c r="F9" s="28"/>
      <c r="G9" s="59"/>
      <c r="H9" s="40"/>
    </row>
    <row r="10" customFormat="false" ht="15" hidden="false" customHeight="false" outlineLevel="0" collapsed="false">
      <c r="A10" s="70" t="s">
        <v>596</v>
      </c>
      <c r="D10" s="56" t="n">
        <f aca="false">SUM(D5:D9)</f>
        <v>0</v>
      </c>
      <c r="E10" s="56" t="n">
        <f aca="false">SUM(E5:E9)</f>
        <v>0</v>
      </c>
      <c r="F10" s="56" t="n">
        <f aca="false">SUM(F5:F9)</f>
        <v>0</v>
      </c>
    </row>
    <row r="11" customFormat="false" ht="15" hidden="false" customHeight="false" outlineLevel="0" collapsed="false">
      <c r="A11" s="5" t="s">
        <v>728</v>
      </c>
      <c r="D11" s="68" t="n">
        <f aca="false">E10-F10</f>
        <v>0</v>
      </c>
    </row>
    <row r="13" customFormat="false" ht="15" hidden="false" customHeight="false" outlineLevel="0" collapsed="false">
      <c r="A13" s="7" t="s">
        <v>729</v>
      </c>
    </row>
    <row r="14" customFormat="false" ht="15" hidden="false" customHeight="false" outlineLevel="0" collapsed="false">
      <c r="A14" s="7" t="s">
        <v>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4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2"/>
    <col collapsed="false" customWidth="true" hidden="false" outlineLevel="0" max="19" min="16" style="0" width="9"/>
  </cols>
  <sheetData>
    <row r="1" customFormat="false" ht="30" hidden="false" customHeight="true" outlineLevel="0" collapsed="false">
      <c r="A1" s="1" t="s">
        <v>731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732</v>
      </c>
    </row>
    <row r="3" customFormat="false" ht="15" hidden="false" customHeight="false" outlineLevel="0" collapsed="false">
      <c r="A3" s="16" t="s">
        <v>733</v>
      </c>
      <c r="B3" s="17"/>
      <c r="C3" s="17"/>
      <c r="E3" s="16" t="s">
        <v>734</v>
      </c>
      <c r="F3" s="17"/>
      <c r="G3" s="17"/>
      <c r="H3" s="17"/>
      <c r="I3" s="17"/>
      <c r="J3" s="17"/>
      <c r="K3" s="17"/>
    </row>
    <row r="4" customFormat="false" ht="15" hidden="false" customHeight="false" outlineLevel="0" collapsed="false">
      <c r="A4" s="5" t="s">
        <v>735</v>
      </c>
      <c r="B4" s="28" t="n">
        <v>150</v>
      </c>
      <c r="C4" s="40" t="s">
        <v>736</v>
      </c>
      <c r="E4" s="71"/>
      <c r="F4" s="2"/>
      <c r="G4" s="2"/>
      <c r="H4" s="71" t="s">
        <v>737</v>
      </c>
      <c r="I4" s="71" t="s">
        <v>738</v>
      </c>
      <c r="J4" s="71" t="s">
        <v>739</v>
      </c>
      <c r="K4" s="71" t="s">
        <v>740</v>
      </c>
    </row>
    <row r="5" customFormat="false" ht="15" hidden="false" customHeight="false" outlineLevel="0" collapsed="false">
      <c r="A5" s="5" t="s">
        <v>741</v>
      </c>
      <c r="B5" s="51" t="n">
        <v>45931</v>
      </c>
      <c r="E5" s="72" t="s">
        <v>735</v>
      </c>
      <c r="F5" s="72"/>
      <c r="G5" s="72"/>
      <c r="H5" s="73" t="n">
        <f aca="false">$B$4</f>
        <v>150</v>
      </c>
      <c r="I5" s="74" t="n">
        <v>100</v>
      </c>
      <c r="J5" s="74" t="n">
        <v>200</v>
      </c>
      <c r="K5" s="74" t="n">
        <v>250</v>
      </c>
    </row>
    <row r="6" customFormat="false" ht="15" hidden="false" customHeight="false" outlineLevel="0" collapsed="false">
      <c r="A6" s="5" t="s">
        <v>742</v>
      </c>
      <c r="B6" s="28" t="n">
        <v>0</v>
      </c>
      <c r="E6" s="72" t="s">
        <v>743</v>
      </c>
      <c r="F6" s="72"/>
      <c r="G6" s="72"/>
      <c r="H6" s="75" t="n">
        <f aca="false">$B$6+H$5*MAX(0,(YEAR(DATE(2026,12,1))-YEAR($B$5))*12+MONTH(DATE(2026,12,1))-MONTH($B$5)+1)-SUMIFS($I$16:$I$65,$F$16:$F$65,"Cuenta de viajes",$B$16:$B$65,"&lt;="&amp;DATE(2026,12,31))</f>
        <v>1900</v>
      </c>
      <c r="I6" s="75" t="n">
        <f aca="false">$B$6+I$5*MAX(0,(YEAR(DATE(2026,12,1))-YEAR($B$5))*12+MONTH(DATE(2026,12,1))-MONTH($B$5)+1)-SUMIFS($I$16:$I$65,$F$16:$F$65,"Cuenta de viajes",$B$16:$B$65,"&lt;="&amp;DATE(2026,12,31))</f>
        <v>1150</v>
      </c>
      <c r="J6" s="75" t="n">
        <f aca="false">$B$6+J$5*MAX(0,(YEAR(DATE(2026,12,1))-YEAR($B$5))*12+MONTH(DATE(2026,12,1))-MONTH($B$5)+1)-SUMIFS($I$16:$I$65,$F$16:$F$65,"Cuenta de viajes",$B$16:$B$65,"&lt;="&amp;DATE(2026,12,31))</f>
        <v>2650</v>
      </c>
      <c r="K6" s="75" t="n">
        <f aca="false">$B$6+K$5*MAX(0,(YEAR(DATE(2026,12,1))-YEAR($B$5))*12+MONTH(DATE(2026,12,1))-MONTH($B$5)+1)-SUMIFS($I$16:$I$65,$F$16:$F$65,"Cuenta de viajes",$B$16:$B$65,"&lt;="&amp;DATE(2026,12,31))</f>
        <v>3400</v>
      </c>
    </row>
    <row r="7" customFormat="false" ht="15" hidden="false" customHeight="false" outlineLevel="0" collapsed="false">
      <c r="A7" s="5" t="s">
        <v>744</v>
      </c>
      <c r="B7" s="31" t="n">
        <v>2026</v>
      </c>
      <c r="E7" s="72" t="s">
        <v>745</v>
      </c>
      <c r="F7" s="72"/>
      <c r="G7" s="72"/>
      <c r="H7" s="75" t="n">
        <f aca="false">$B$6+H$5*MAX(0,(YEAR(DATE(2027,12,1))-YEAR($B$5))*12+MONTH(DATE(2027,12,1))-MONTH($B$5)+1)-SUMIFS($I$16:$I$65,$F$16:$F$65,"Cuenta de viajes",$B$16:$B$65,"&lt;="&amp;DATE(2027,12,31))</f>
        <v>2900</v>
      </c>
      <c r="I7" s="75" t="n">
        <f aca="false">$B$6+I$5*MAX(0,(YEAR(DATE(2027,12,1))-YEAR($B$5))*12+MONTH(DATE(2027,12,1))-MONTH($B$5)+1)-SUMIFS($I$16:$I$65,$F$16:$F$65,"Cuenta de viajes",$B$16:$B$65,"&lt;="&amp;DATE(2027,12,31))</f>
        <v>1550</v>
      </c>
      <c r="J7" s="75" t="n">
        <f aca="false">$B$6+J$5*MAX(0,(YEAR(DATE(2027,12,1))-YEAR($B$5))*12+MONTH(DATE(2027,12,1))-MONTH($B$5)+1)-SUMIFS($I$16:$I$65,$F$16:$F$65,"Cuenta de viajes",$B$16:$B$65,"&lt;="&amp;DATE(2027,12,31))</f>
        <v>4250</v>
      </c>
      <c r="K7" s="75" t="n">
        <f aca="false">$B$6+K$5*MAX(0,(YEAR(DATE(2027,12,1))-YEAR($B$5))*12+MONTH(DATE(2027,12,1))-MONTH($B$5)+1)-SUMIFS($I$16:$I$65,$F$16:$F$65,"Cuenta de viajes",$B$16:$B$65,"&lt;="&amp;DATE(2027,12,31))</f>
        <v>5600</v>
      </c>
    </row>
    <row r="8" customFormat="false" ht="15" hidden="false" customHeight="false" outlineLevel="0" collapsed="false">
      <c r="A8" s="5" t="s">
        <v>746</v>
      </c>
      <c r="B8" s="23" t="n">
        <f aca="false">$B$4*(MAX(0,(YEAR(DATE($B$7,12,1))-YEAR($B$5))*12+MONTH(DATE($B$7,12,1))-MONTH($B$5)+1)-MAX(0,(YEAR(DATE($B$7-1,12,1))-YEAR($B$5))*12+MONTH(DATE($B$7-1,12,1))-MONTH($B$5)+1))</f>
        <v>1800</v>
      </c>
      <c r="E8" s="72" t="s">
        <v>747</v>
      </c>
      <c r="F8" s="72"/>
      <c r="G8" s="72"/>
      <c r="H8" s="75" t="n">
        <f aca="false">IF(COUNT(P16:P65)=0,"",MIN(P16:P65))</f>
        <v>1700</v>
      </c>
      <c r="I8" s="75" t="n">
        <f aca="false">IF(COUNT(Q16:Q65)=0,"",MIN(Q16:Q65))</f>
        <v>750</v>
      </c>
      <c r="J8" s="75" t="n">
        <f aca="false">IF(COUNT(R16:R65)=0,"",MIN(R16:R65))</f>
        <v>2450</v>
      </c>
      <c r="K8" s="75" t="n">
        <f aca="false">IF(COUNT(S16:S65)=0,"",MIN(S16:S65))</f>
        <v>3150</v>
      </c>
    </row>
    <row r="9" customFormat="false" ht="15" hidden="false" customHeight="false" outlineLevel="0" collapsed="false">
      <c r="A9" s="5" t="s">
        <v>748</v>
      </c>
      <c r="B9" s="23" t="n">
        <f aca="false">SUMIFS($I$16:$I$65,$F$16:$F$65,"Cuenta de viajes",$B$16:$B$65,"&gt;="&amp;DATE($B$7,1,1),$B$16:$B$65,"&lt;="&amp;DATE($B$7,12,31))</f>
        <v>350</v>
      </c>
      <c r="E9" s="72" t="s">
        <v>749</v>
      </c>
      <c r="F9" s="72"/>
      <c r="G9" s="72"/>
      <c r="H9" s="76" t="str">
        <f aca="false">IF(H8="","Sin viajes de la cuenta",IF(H8&lt;0,"🔴 No","🟢 Sí"))</f>
        <v>🟢 Sí</v>
      </c>
      <c r="I9" s="76" t="str">
        <f aca="false">IF(I8="","Sin viajes de la cuenta",IF(I8&lt;0,"🔴 No","🟢 Sí"))</f>
        <v>🟢 Sí</v>
      </c>
      <c r="J9" s="76" t="str">
        <f aca="false">IF(J8="","Sin viajes de la cuenta",IF(J8&lt;0,"🔴 No","🟢 Sí"))</f>
        <v>🟢 Sí</v>
      </c>
      <c r="K9" s="76" t="str">
        <f aca="false">IF(K8="","Sin viajes de la cuenta",IF(K8&lt;0,"🔴 No","🟢 Sí"))</f>
        <v>🟢 Sí</v>
      </c>
    </row>
    <row r="10" customFormat="false" ht="15" hidden="false" customHeight="false" outlineLevel="0" collapsed="false">
      <c r="A10" s="5" t="s">
        <v>750</v>
      </c>
      <c r="B10" s="36" t="n">
        <f aca="false">$B$6+$B$4*MAX(0,(YEAR(DATE($B$7,12,1))-YEAR($B$5))*12+MONTH(DATE($B$7,12,1))-MONTH($B$5)+1)-SUMIFS($I$16:$I$65,$F$16:$F$65,"Cuenta de viajes",$B$16:$B$65,"&lt;="&amp;DATE($B$7,12,31))</f>
        <v>1900</v>
      </c>
      <c r="E10" s="72" t="s">
        <v>751</v>
      </c>
      <c r="F10" s="72"/>
      <c r="G10" s="72"/>
      <c r="H10" s="75" t="n">
        <f aca="true">PARÁMETROS!$B$13+IFERROR(SUMIFS(MOVIMIENTOS!$E$4:$E$20000,MOVIMIENTOS!$G$4:$G$20000,"Aportación a la cuenta de viajes",MOVIMIENTOS!$B$4:$B$20000,"&gt;="&amp;'MIS DATOS'!$A$6,MOVIMIENTOS!$B$4:$B$20000,"&lt;"&amp;DATE(YEAR(TODAY()),MONTH(TODAY()),1))/-COUNTIFS('MIS DATOS'!$N$6:$N$245,1),0)-H$5</f>
        <v>976.86</v>
      </c>
      <c r="I10" s="75" t="n">
        <f aca="true">PARÁMETROS!$B$13+IFERROR(SUMIFS(MOVIMIENTOS!$E$4:$E$20000,MOVIMIENTOS!$G$4:$G$20000,"Aportación a la cuenta de viajes",MOVIMIENTOS!$B$4:$B$20000,"&gt;="&amp;'MIS DATOS'!$A$6,MOVIMIENTOS!$B$4:$B$20000,"&lt;"&amp;DATE(YEAR(TODAY()),MONTH(TODAY()),1))/-COUNTIFS('MIS DATOS'!$N$6:$N$245,1),0)-I$5</f>
        <v>1026.86</v>
      </c>
      <c r="J10" s="75" t="n">
        <f aca="true">PARÁMETROS!$B$13+IFERROR(SUMIFS(MOVIMIENTOS!$E$4:$E$20000,MOVIMIENTOS!$G$4:$G$20000,"Aportación a la cuenta de viajes",MOVIMIENTOS!$B$4:$B$20000,"&gt;="&amp;'MIS DATOS'!$A$6,MOVIMIENTOS!$B$4:$B$20000,"&lt;"&amp;DATE(YEAR(TODAY()),MONTH(TODAY()),1))/-COUNTIFS('MIS DATOS'!$N$6:$N$245,1),0)-J$5</f>
        <v>926.86</v>
      </c>
      <c r="K10" s="75" t="n">
        <f aca="true">PARÁMETROS!$B$13+IFERROR(SUMIFS(MOVIMIENTOS!$E$4:$E$20000,MOVIMIENTOS!$G$4:$G$20000,"Aportación a la cuenta de viajes",MOVIMIENTOS!$B$4:$B$20000,"&gt;="&amp;'MIS DATOS'!$A$6,MOVIMIENTOS!$B$4:$B$20000,"&lt;"&amp;DATE(YEAR(TODAY()),MONTH(TODAY()),1))/-COUNTIFS('MIS DATOS'!$N$6:$N$245,1),0)-K$5</f>
        <v>876.86</v>
      </c>
    </row>
    <row r="11" customFormat="false" ht="15" hidden="false" customHeight="false" outlineLevel="0" collapsed="false">
      <c r="A11" s="5" t="s">
        <v>752</v>
      </c>
      <c r="B11" s="26" t="n">
        <f aca="false">COUNTIFS($B$16:$B$65,"&gt;="&amp;DATE($B$7,1,1),$B$16:$B$65,"&lt;="&amp;DATE($B$7,12,31))</f>
        <v>2</v>
      </c>
      <c r="E11" s="72" t="s">
        <v>753</v>
      </c>
      <c r="F11" s="72"/>
      <c r="G11" s="72"/>
      <c r="H11" s="77" t="n">
        <f aca="false">IFERROR(H10/IFERROR(AVERAGEIFS('MIS DATOS'!$G$6:$G$245,'MIS DATOS'!$N$6:$N$245,1),0),"")</f>
        <v>0.371795916826811</v>
      </c>
      <c r="I11" s="77" t="n">
        <f aca="false">IFERROR(I10/IFERROR(AVERAGEIFS('MIS DATOS'!$G$6:$G$245,'MIS DATOS'!$N$6:$N$245,1),0),"")</f>
        <v>0.390826070422352</v>
      </c>
      <c r="J11" s="77" t="n">
        <f aca="false">IFERROR(J10/IFERROR(AVERAGEIFS('MIS DATOS'!$G$6:$G$245,'MIS DATOS'!$N$6:$N$245,1),0),"")</f>
        <v>0.352765763231269</v>
      </c>
      <c r="K11" s="77" t="n">
        <f aca="false">IFERROR(K10/IFERROR(AVERAGEIFS('MIS DATOS'!$G$6:$G$245,'MIS DATOS'!$N$6:$N$245,1),0),"")</f>
        <v>0.333735609635728</v>
      </c>
    </row>
    <row r="12" customFormat="false" ht="15" hidden="false" customHeight="false" outlineLevel="0" collapsed="false">
      <c r="A12" s="5" t="s">
        <v>754</v>
      </c>
      <c r="B12" s="78" t="str">
        <f aca="false">IFERROR(IF(MIN($J$16:$J$65)&lt;0,"⚠️ No llega para "&amp;INDEX($A$16:$A$65,MATCH(MIN($J$16:$J$65),$J$16:$J$65,0))&amp;": faltan "&amp;TEXT(-MIN($J$16:$J$65),"#,##0")&amp;" €","✅ Llega para todos los viajes apuntados"),"")</f>
        <v>✅ Llega para todos los viajes apuntados</v>
      </c>
      <c r="E12" s="72" t="s">
        <v>755</v>
      </c>
      <c r="F12" s="72"/>
      <c r="G12" s="72"/>
      <c r="H12" s="79" t="n">
        <f aca="true">INDEX(PROYECCIÓN!$G$15:$G$45,PROYECCIÓN!$B$11+1)+(IFERROR(SUMIFS(MOVIMIENTOS!$E$4:$E$20000,MOVIMIENTOS!$G$4:$G$20000,"Aportación a la cuenta de viajes",MOVIMIENTOS!$B$4:$B$20000,"&gt;="&amp;'MIS DATOS'!$A$6,MOVIMIENTOS!$B$4:$B$20000,"&lt;"&amp;DATE(YEAR(TODAY()),MONTH(TODAY()),1))/-COUNTIFS('MIS DATOS'!$N$6:$N$245,1),0)-H$5)*12*IFERROR(((1+PARÁMETROS!$B$9)^PROYECCIÓN!$B$11-1)/PARÁMETROS!$B$9,PROYECCIÓN!$B$11)</f>
        <v>502169.24534427</v>
      </c>
      <c r="I12" s="79" t="n">
        <f aca="true">INDEX(PROYECCIÓN!$G$15:$G$45,PROYECCIÓN!$B$11+1)+(IFERROR(SUMIFS(MOVIMIENTOS!$E$4:$E$20000,MOVIMIENTOS!$G$4:$G$20000,"Aportación a la cuenta de viajes",MOVIMIENTOS!$B$4:$B$20000,"&gt;="&amp;'MIS DATOS'!$A$6,MOVIMIENTOS!$B$4:$B$20000,"&lt;"&amp;DATE(YEAR(TODAY()),MONTH(TODAY()),1))/-COUNTIFS('MIS DATOS'!$N$6:$N$245,1),0)-I$5)*12*IFERROR(((1+PARÁMETROS!$B$9)^PROYECCIÓN!$B$11-1)/PARÁMETROS!$B$9,PROYECCIÓN!$B$11)</f>
        <v>518991.890913813</v>
      </c>
      <c r="J12" s="79" t="n">
        <f aca="true">INDEX(PROYECCIÓN!$G$15:$G$45,PROYECCIÓN!$B$11+1)+(IFERROR(SUMIFS(MOVIMIENTOS!$E$4:$E$20000,MOVIMIENTOS!$G$4:$G$20000,"Aportación a la cuenta de viajes",MOVIMIENTOS!$B$4:$B$20000,"&gt;="&amp;'MIS DATOS'!$A$6,MOVIMIENTOS!$B$4:$B$20000,"&lt;"&amp;DATE(YEAR(TODAY()),MONTH(TODAY()),1))/-COUNTIFS('MIS DATOS'!$N$6:$N$245,1),0)-J$5)*12*IFERROR(((1+PARÁMETROS!$B$9)^PROYECCIÓN!$B$11-1)/PARÁMETROS!$B$9,PROYECCIÓN!$B$11)</f>
        <v>485346.599774726</v>
      </c>
      <c r="K12" s="79" t="n">
        <f aca="true">INDEX(PROYECCIÓN!$G$15:$G$45,PROYECCIÓN!$B$11+1)+(IFERROR(SUMIFS(MOVIMIENTOS!$E$4:$E$20000,MOVIMIENTOS!$G$4:$G$20000,"Aportación a la cuenta de viajes",MOVIMIENTOS!$B$4:$B$20000,"&gt;="&amp;'MIS DATOS'!$A$6,MOVIMIENTOS!$B$4:$B$20000,"&lt;"&amp;DATE(YEAR(TODAY()),MONTH(TODAY()),1))/-COUNTIFS('MIS DATOS'!$N$6:$N$245,1),0)-K$5)*12*IFERROR(((1+PARÁMETROS!$B$9)^PROYECCIÓN!$B$11-1)/PARÁMETROS!$B$9,PROYECCIÓN!$B$11)</f>
        <v>468523.954205182</v>
      </c>
    </row>
    <row r="13" customFormat="false" ht="15" hidden="false" customHeight="false" outlineLevel="0" collapsed="false">
      <c r="E13" s="72" t="s">
        <v>756</v>
      </c>
      <c r="F13" s="72"/>
      <c r="G13" s="72"/>
      <c r="H13" s="77" t="n">
        <f aca="true">IFERROR(H12*PARÁMETROS!$B$16/((PARÁMETROS!$B$15+H$5-IFERROR(SUMIFS(MOVIMIENTOS!$E$4:$E$20000,MOVIMIENTOS!$G$4:$G$20000,"Aportación a la cuenta de viajes",MOVIMIENTOS!$B$4:$B$20000,"&gt;="&amp;'MIS DATOS'!$A$6,MOVIMIENTOS!$B$4:$B$20000,"&lt;"&amp;DATE(YEAR(TODAY()),MONTH(TODAY()),1))/-COUNTIFS('MIS DATOS'!$N$6:$N$245,1),0))*12*(1+PARÁMETROS!$B$10)^PROYECCIÓN!$B$11),"")</f>
        <v>0.533678725972287</v>
      </c>
      <c r="I13" s="77" t="n">
        <f aca="true">IFERROR(I12*PARÁMETROS!$B$16/((PARÁMETROS!$B$15+I$5-IFERROR(SUMIFS(MOVIMIENTOS!$E$4:$E$20000,MOVIMIENTOS!$G$4:$G$20000,"Aportación a la cuenta de viajes",MOVIMIENTOS!$B$4:$B$20000,"&gt;="&amp;'MIS DATOS'!$A$6,MOVIMIENTOS!$B$4:$B$20000,"&lt;"&amp;DATE(YEAR(TODAY()),MONTH(TODAY()),1))/-COUNTIFS('MIS DATOS'!$N$6:$N$245,1),0))*12*(1+PARÁMETROS!$B$10)^PROYECCIÓN!$B$11),"")</f>
        <v>0.568787178007383</v>
      </c>
      <c r="J13" s="77" t="n">
        <f aca="true">IFERROR(J12*PARÁMETROS!$B$16/((PARÁMETROS!$B$15+J$5-IFERROR(SUMIFS(MOVIMIENTOS!$E$4:$E$20000,MOVIMIENTOS!$G$4:$G$20000,"Aportación a la cuenta de viajes",MOVIMIENTOS!$B$4:$B$20000,"&gt;="&amp;'MIS DATOS'!$A$6,MOVIMIENTOS!$B$4:$B$20000,"&lt;"&amp;DATE(YEAR(TODAY()),MONTH(TODAY()),1))/-COUNTIFS('MIS DATOS'!$N$6:$N$245,1),0))*12*(1+PARÁMETROS!$B$10)^PROYECCIÓN!$B$11),"")</f>
        <v>0.500634810071946</v>
      </c>
      <c r="K13" s="77" t="n">
        <f aca="true">IFERROR(K12*PARÁMETROS!$B$16/((PARÁMETROS!$B$15+K$5-IFERROR(SUMIFS(MOVIMIENTOS!$E$4:$E$20000,MOVIMIENTOS!$G$4:$G$20000,"Aportación a la cuenta de viajes",MOVIMIENTOS!$B$4:$B$20000,"&gt;="&amp;'MIS DATOS'!$A$6,MOVIMIENTOS!$B$4:$B$20000,"&lt;"&amp;DATE(YEAR(TODAY()),MONTH(TODAY()),1))/-COUNTIFS('MIS DATOS'!$N$6:$N$245,1),0))*12*(1+PARÁMETROS!$B$10)^PROYECCIÓN!$B$11),"")</f>
        <v>0.469478525580626</v>
      </c>
    </row>
    <row r="14" customFormat="false" ht="15" hidden="false" customHeight="false" outlineLevel="0" collapsed="false">
      <c r="E14" s="80" t="s">
        <v>757</v>
      </c>
    </row>
    <row r="15" customFormat="false" ht="30" hidden="false" customHeight="true" outlineLevel="0" collapsed="false">
      <c r="A15" s="22" t="s">
        <v>758</v>
      </c>
      <c r="B15" s="22" t="s">
        <v>104</v>
      </c>
      <c r="C15" s="22" t="s">
        <v>759</v>
      </c>
      <c r="D15" s="22" t="s">
        <v>760</v>
      </c>
      <c r="E15" s="22" t="s">
        <v>722</v>
      </c>
      <c r="F15" s="22" t="s">
        <v>761</v>
      </c>
      <c r="G15" s="22" t="s">
        <v>65</v>
      </c>
      <c r="H15" s="22" t="s">
        <v>762</v>
      </c>
      <c r="I15" s="22" t="s">
        <v>105</v>
      </c>
      <c r="J15" s="22" t="s">
        <v>763</v>
      </c>
      <c r="K15" s="22" t="s">
        <v>764</v>
      </c>
      <c r="L15" s="22" t="s">
        <v>112</v>
      </c>
      <c r="M15" s="81" t="s">
        <v>765</v>
      </c>
      <c r="N15" s="81" t="s">
        <v>766</v>
      </c>
      <c r="P15" s="81" t="s">
        <v>767</v>
      </c>
      <c r="Q15" s="81" t="s">
        <v>768</v>
      </c>
      <c r="R15" s="81" t="s">
        <v>769</v>
      </c>
      <c r="S15" s="81" t="s">
        <v>770</v>
      </c>
    </row>
    <row r="16" customFormat="false" ht="15" hidden="false" customHeight="false" outlineLevel="0" collapsed="false">
      <c r="A16" s="49" t="s">
        <v>771</v>
      </c>
      <c r="B16" s="62" t="n">
        <v>46346</v>
      </c>
      <c r="C16" s="28" t="n">
        <v>700</v>
      </c>
      <c r="D16" s="31" t="n">
        <v>2</v>
      </c>
      <c r="E16" s="23" t="n">
        <f aca="false">IF(OR(A16="",C16=""),"",C16/MAX(1,N(D16)))</f>
        <v>350</v>
      </c>
      <c r="F16" s="49" t="s">
        <v>644</v>
      </c>
      <c r="G16" s="49" t="s">
        <v>772</v>
      </c>
      <c r="H16" s="28"/>
      <c r="I16" s="23" t="n">
        <f aca="false">IF(A16="","",IF(H16&lt;&gt;"",H16,E16))</f>
        <v>350</v>
      </c>
      <c r="J16" s="34" t="n">
        <f aca="false">IF(N16="","",$B$6+$B$4*M16-N16)</f>
        <v>1750</v>
      </c>
      <c r="K16" s="27" t="str">
        <f aca="false">IF(A16="","",IF(F16&lt;&gt;"Cuenta de viajes","— lo pagas tú",IF(OR(B16="",E16=""),"Falta fecha o coste",IF(J16&lt;0,"🔴 Faltan "&amp;TEXT(-J16,"#,##0")&amp;" €",IF(J16&lt;$B$4,"🟡 Justo","🟢 Llega")))))</f>
        <v>🟢 Llega</v>
      </c>
      <c r="L16" s="40" t="s">
        <v>773</v>
      </c>
      <c r="M16" s="82" t="n">
        <f aca="false">IF(OR(A16="",B16=""),"",MAX(0,(YEAR(B16)-YEAR($B$5))*12+MONTH(B16)-MONTH($B$5)+1))</f>
        <v>14</v>
      </c>
      <c r="N16" s="83" t="n">
        <f aca="false">IF(OR(A16="",B16="",F16&lt;&gt;"Cuenta de viajes"),"",SUMIFS($I$16:$I$65,$F$16:$F$65,"Cuenta de viajes",$B$16:$B$65,"&lt;="&amp;B16))</f>
        <v>350</v>
      </c>
      <c r="P16" s="83" t="n">
        <f aca="false">IF(N16="","",$B$6+H$5*M16-N16)</f>
        <v>1750</v>
      </c>
      <c r="Q16" s="83" t="n">
        <f aca="false">IF(N16="","",$B$6+I$5*M16-N16)</f>
        <v>1050</v>
      </c>
      <c r="R16" s="83" t="n">
        <f aca="false">IF(N16="","",$B$6+J$5*M16-N16)</f>
        <v>2450</v>
      </c>
      <c r="S16" s="83" t="n">
        <f aca="false">IF(N16="","",$B$6+K$5*M16-N16)</f>
        <v>3150</v>
      </c>
    </row>
    <row r="17" customFormat="false" ht="15" hidden="false" customHeight="false" outlineLevel="0" collapsed="false">
      <c r="A17" s="49" t="s">
        <v>774</v>
      </c>
      <c r="B17" s="62" t="n">
        <v>46361</v>
      </c>
      <c r="C17" s="28" t="n">
        <v>320</v>
      </c>
      <c r="D17" s="31" t="n">
        <v>2</v>
      </c>
      <c r="E17" s="23" t="n">
        <f aca="false">IF(OR(A17="",C17=""),"",C17/MAX(1,N(D17)))</f>
        <v>160</v>
      </c>
      <c r="F17" s="49" t="s">
        <v>775</v>
      </c>
      <c r="G17" s="49" t="s">
        <v>776</v>
      </c>
      <c r="H17" s="28"/>
      <c r="I17" s="23" t="n">
        <f aca="false">IF(A17="","",IF(H17&lt;&gt;"",H17,E17))</f>
        <v>160</v>
      </c>
      <c r="J17" s="34" t="str">
        <f aca="false">IF(N17="","",$B$6+$B$4*M17-N17)</f>
        <v/>
      </c>
      <c r="K17" s="27" t="str">
        <f aca="false">IF(A17="","",IF(F17&lt;&gt;"Cuenta de viajes","— lo pagas tú",IF(OR(B17="",E17=""),"Falta fecha o coste",IF(J17&lt;0,"🔴 Faltan "&amp;TEXT(-J17,"#,##0")&amp;" €",IF(J17&lt;$B$4,"🟡 Justo","🟢 Llega")))))</f>
        <v>— lo pagas tú</v>
      </c>
      <c r="L17" s="40" t="s">
        <v>777</v>
      </c>
      <c r="M17" s="82" t="n">
        <f aca="false">IF(OR(A17="",B17=""),"",MAX(0,(YEAR(B17)-YEAR($B$5))*12+MONTH(B17)-MONTH($B$5)+1))</f>
        <v>15</v>
      </c>
      <c r="N17" s="83" t="str">
        <f aca="false">IF(OR(A17="",B17="",F17&lt;&gt;"Cuenta de viajes"),"",SUMIFS($I$16:$I$65,$F$16:$F$65,"Cuenta de viajes",$B$16:$B$65,"&lt;="&amp;B17))</f>
        <v/>
      </c>
      <c r="P17" s="83" t="str">
        <f aca="false">IF(N17="","",$B$6+H$5*M17-N17)</f>
        <v/>
      </c>
      <c r="Q17" s="83" t="str">
        <f aca="false">IF(N17="","",$B$6+I$5*M17-N17)</f>
        <v/>
      </c>
      <c r="R17" s="83" t="str">
        <f aca="false">IF(N17="","",$B$6+J$5*M17-N17)</f>
        <v/>
      </c>
      <c r="S17" s="83" t="str">
        <f aca="false">IF(N17="","",$B$6+K$5*M17-N17)</f>
        <v/>
      </c>
    </row>
    <row r="18" customFormat="false" ht="15" hidden="false" customHeight="false" outlineLevel="0" collapsed="false">
      <c r="A18" s="49" t="s">
        <v>778</v>
      </c>
      <c r="B18" s="62" t="n">
        <v>46487</v>
      </c>
      <c r="C18" s="28" t="n">
        <v>1600</v>
      </c>
      <c r="D18" s="31" t="n">
        <v>2</v>
      </c>
      <c r="E18" s="23" t="n">
        <f aca="false">IF(OR(A18="",C18=""),"",C18/MAX(1,N(D18)))</f>
        <v>800</v>
      </c>
      <c r="F18" s="49" t="s">
        <v>644</v>
      </c>
      <c r="G18" s="49" t="s">
        <v>779</v>
      </c>
      <c r="H18" s="28"/>
      <c r="I18" s="23" t="n">
        <f aca="false">IF(A18="","",IF(H18&lt;&gt;"",H18,E18))</f>
        <v>800</v>
      </c>
      <c r="J18" s="34" t="n">
        <f aca="false">IF(N18="","",$B$6+$B$4*M18-N18)</f>
        <v>1700</v>
      </c>
      <c r="K18" s="27" t="str">
        <f aca="false">IF(A18="","",IF(F18&lt;&gt;"Cuenta de viajes","— lo pagas tú",IF(OR(B18="",E18=""),"Falta fecha o coste",IF(J18&lt;0,"🔴 Faltan "&amp;TEXT(-J18,"#,##0")&amp;" €",IF(J18&lt;$B$4,"🟡 Justo","🟢 Llega")))))</f>
        <v>🟢 Llega</v>
      </c>
      <c r="L18" s="40" t="s">
        <v>780</v>
      </c>
      <c r="M18" s="82" t="n">
        <f aca="false">IF(OR(A18="",B18=""),"",MAX(0,(YEAR(B18)-YEAR($B$5))*12+MONTH(B18)-MONTH($B$5)+1))</f>
        <v>19</v>
      </c>
      <c r="N18" s="83" t="n">
        <f aca="false">IF(OR(A18="",B18="",F18&lt;&gt;"Cuenta de viajes"),"",SUMIFS($I$16:$I$65,$F$16:$F$65,"Cuenta de viajes",$B$16:$B$65,"&lt;="&amp;B18))</f>
        <v>1150</v>
      </c>
      <c r="P18" s="83" t="n">
        <f aca="false">IF(N18="","",$B$6+H$5*M18-N18)</f>
        <v>1700</v>
      </c>
      <c r="Q18" s="83" t="n">
        <f aca="false">IF(N18="","",$B$6+I$5*M18-N18)</f>
        <v>750</v>
      </c>
      <c r="R18" s="83" t="n">
        <f aca="false">IF(N18="","",$B$6+J$5*M18-N18)</f>
        <v>2650</v>
      </c>
      <c r="S18" s="83" t="n">
        <f aca="false">IF(N18="","",$B$6+K$5*M18-N18)</f>
        <v>3600</v>
      </c>
    </row>
    <row r="19" customFormat="false" ht="15" hidden="false" customHeight="false" outlineLevel="0" collapsed="false">
      <c r="A19" s="49" t="s">
        <v>781</v>
      </c>
      <c r="B19" s="62" t="n">
        <v>46645</v>
      </c>
      <c r="C19" s="28"/>
      <c r="D19" s="31" t="n">
        <v>2</v>
      </c>
      <c r="E19" s="23" t="str">
        <f aca="false">IF(OR(A19="",C19=""),"",C19/MAX(1,N(D19)))</f>
        <v/>
      </c>
      <c r="F19" s="49" t="s">
        <v>644</v>
      </c>
      <c r="G19" s="49" t="s">
        <v>776</v>
      </c>
      <c r="H19" s="28"/>
      <c r="I19" s="23" t="str">
        <f aca="false">IF(A19="","",IF(H19&lt;&gt;"",H19,E19))</f>
        <v/>
      </c>
      <c r="J19" s="34" t="n">
        <f aca="false">IF(N19="","",$B$6+$B$4*M19-N19)</f>
        <v>2450</v>
      </c>
      <c r="K19" s="27" t="str">
        <f aca="false">IF(A19="","",IF(F19&lt;&gt;"Cuenta de viajes","— lo pagas tú",IF(OR(B19="",E19=""),"Falta fecha o coste",IF(J19&lt;0,"🔴 Faltan "&amp;TEXT(-J19,"#,##0")&amp;" €",IF(J19&lt;$B$4,"🟡 Justo","🟢 Llega")))))</f>
        <v>Falta fecha o coste</v>
      </c>
      <c r="L19" s="40" t="s">
        <v>782</v>
      </c>
      <c r="M19" s="82" t="n">
        <f aca="false">IF(OR(A19="",B19=""),"",MAX(0,(YEAR(B19)-YEAR($B$5))*12+MONTH(B19)-MONTH($B$5)+1))</f>
        <v>24</v>
      </c>
      <c r="N19" s="83" t="n">
        <f aca="false">IF(OR(A19="",B19="",F19&lt;&gt;"Cuenta de viajes"),"",SUMIFS($I$16:$I$65,$F$16:$F$65,"Cuenta de viajes",$B$16:$B$65,"&lt;="&amp;B19))</f>
        <v>1150</v>
      </c>
      <c r="P19" s="83" t="n">
        <f aca="false">IF(N19="","",$B$6+H$5*M19-N19)</f>
        <v>2450</v>
      </c>
      <c r="Q19" s="83" t="n">
        <f aca="false">IF(N19="","",$B$6+I$5*M19-N19)</f>
        <v>1250</v>
      </c>
      <c r="R19" s="83" t="n">
        <f aca="false">IF(N19="","",$B$6+J$5*M19-N19)</f>
        <v>3650</v>
      </c>
      <c r="S19" s="83" t="n">
        <f aca="false">IF(N19="","",$B$6+K$5*M19-N19)</f>
        <v>4850</v>
      </c>
    </row>
    <row r="20" customFormat="false" ht="15" hidden="false" customHeight="false" outlineLevel="0" collapsed="false">
      <c r="A20" s="49"/>
      <c r="B20" s="62"/>
      <c r="C20" s="28"/>
      <c r="D20" s="31"/>
      <c r="E20" s="23" t="str">
        <f aca="false">IF(OR(A20="",C20=""),"",C20/MAX(1,N(D20)))</f>
        <v/>
      </c>
      <c r="F20" s="49"/>
      <c r="G20" s="49"/>
      <c r="H20" s="28"/>
      <c r="I20" s="23" t="str">
        <f aca="false">IF(A20="","",IF(H20&lt;&gt;"",H20,E20))</f>
        <v/>
      </c>
      <c r="J20" s="34" t="str">
        <f aca="false">IF(N20="","",$B$6+$B$4*M20-N20)</f>
        <v/>
      </c>
      <c r="K20" s="27" t="str">
        <f aca="false">IF(A20="","",IF(F20&lt;&gt;"Cuenta de viajes","— lo pagas tú",IF(OR(B20="",E20=""),"Falta fecha o coste",IF(J20&lt;0,"🔴 Faltan "&amp;TEXT(-J20,"#,##0")&amp;" €",IF(J20&lt;$B$4,"🟡 Justo","🟢 Llega")))))</f>
        <v/>
      </c>
      <c r="L20" s="40"/>
      <c r="M20" s="82" t="str">
        <f aca="false">IF(OR(A20="",B20=""),"",MAX(0,(YEAR(B20)-YEAR($B$5))*12+MONTH(B20)-MONTH($B$5)+1))</f>
        <v/>
      </c>
      <c r="N20" s="83" t="str">
        <f aca="false">IF(OR(A20="",B20="",F20&lt;&gt;"Cuenta de viajes"),"",SUMIFS($I$16:$I$65,$F$16:$F$65,"Cuenta de viajes",$B$16:$B$65,"&lt;="&amp;B20))</f>
        <v/>
      </c>
      <c r="P20" s="83" t="str">
        <f aca="false">IF(N20="","",$B$6+H$5*M20-N20)</f>
        <v/>
      </c>
      <c r="Q20" s="83" t="str">
        <f aca="false">IF(N20="","",$B$6+I$5*M20-N20)</f>
        <v/>
      </c>
      <c r="R20" s="83" t="str">
        <f aca="false">IF(N20="","",$B$6+J$5*M20-N20)</f>
        <v/>
      </c>
      <c r="S20" s="83" t="str">
        <f aca="false">IF(N20="","",$B$6+K$5*M20-N20)</f>
        <v/>
      </c>
    </row>
    <row r="21" customFormat="false" ht="15" hidden="false" customHeight="false" outlineLevel="0" collapsed="false">
      <c r="A21" s="49"/>
      <c r="B21" s="62"/>
      <c r="C21" s="28"/>
      <c r="D21" s="31"/>
      <c r="E21" s="23" t="str">
        <f aca="false">IF(OR(A21="",C21=""),"",C21/MAX(1,N(D21)))</f>
        <v/>
      </c>
      <c r="F21" s="49"/>
      <c r="G21" s="49"/>
      <c r="H21" s="28"/>
      <c r="I21" s="23" t="str">
        <f aca="false">IF(A21="","",IF(H21&lt;&gt;"",H21,E21))</f>
        <v/>
      </c>
      <c r="J21" s="34" t="str">
        <f aca="false">IF(N21="","",$B$6+$B$4*M21-N21)</f>
        <v/>
      </c>
      <c r="K21" s="27" t="str">
        <f aca="false">IF(A21="","",IF(F21&lt;&gt;"Cuenta de viajes","— lo pagas tú",IF(OR(B21="",E21=""),"Falta fecha o coste",IF(J21&lt;0,"🔴 Faltan "&amp;TEXT(-J21,"#,##0")&amp;" €",IF(J21&lt;$B$4,"🟡 Justo","🟢 Llega")))))</f>
        <v/>
      </c>
      <c r="L21" s="40"/>
      <c r="M21" s="82" t="str">
        <f aca="false">IF(OR(A21="",B21=""),"",MAX(0,(YEAR(B21)-YEAR($B$5))*12+MONTH(B21)-MONTH($B$5)+1))</f>
        <v/>
      </c>
      <c r="N21" s="83" t="str">
        <f aca="false">IF(OR(A21="",B21="",F21&lt;&gt;"Cuenta de viajes"),"",SUMIFS($I$16:$I$65,$F$16:$F$65,"Cuenta de viajes",$B$16:$B$65,"&lt;="&amp;B21))</f>
        <v/>
      </c>
      <c r="P21" s="83" t="str">
        <f aca="false">IF(N21="","",$B$6+H$5*M21-N21)</f>
        <v/>
      </c>
      <c r="Q21" s="83" t="str">
        <f aca="false">IF(N21="","",$B$6+I$5*M21-N21)</f>
        <v/>
      </c>
      <c r="R21" s="83" t="str">
        <f aca="false">IF(N21="","",$B$6+J$5*M21-N21)</f>
        <v/>
      </c>
      <c r="S21" s="83" t="str">
        <f aca="false">IF(N21="","",$B$6+K$5*M21-N21)</f>
        <v/>
      </c>
    </row>
    <row r="22" customFormat="false" ht="15" hidden="false" customHeight="false" outlineLevel="0" collapsed="false">
      <c r="A22" s="49"/>
      <c r="B22" s="62"/>
      <c r="C22" s="28"/>
      <c r="D22" s="31"/>
      <c r="E22" s="23" t="str">
        <f aca="false">IF(OR(A22="",C22=""),"",C22/MAX(1,N(D22)))</f>
        <v/>
      </c>
      <c r="F22" s="49"/>
      <c r="G22" s="49"/>
      <c r="H22" s="28"/>
      <c r="I22" s="23" t="str">
        <f aca="false">IF(A22="","",IF(H22&lt;&gt;"",H22,E22))</f>
        <v/>
      </c>
      <c r="J22" s="34" t="str">
        <f aca="false">IF(N22="","",$B$6+$B$4*M22-N22)</f>
        <v/>
      </c>
      <c r="K22" s="27" t="str">
        <f aca="false">IF(A22="","",IF(F22&lt;&gt;"Cuenta de viajes","— lo pagas tú",IF(OR(B22="",E22=""),"Falta fecha o coste",IF(J22&lt;0,"🔴 Faltan "&amp;TEXT(-J22,"#,##0")&amp;" €",IF(J22&lt;$B$4,"🟡 Justo","🟢 Llega")))))</f>
        <v/>
      </c>
      <c r="L22" s="40"/>
      <c r="M22" s="82" t="str">
        <f aca="false">IF(OR(A22="",B22=""),"",MAX(0,(YEAR(B22)-YEAR($B$5))*12+MONTH(B22)-MONTH($B$5)+1))</f>
        <v/>
      </c>
      <c r="N22" s="83" t="str">
        <f aca="false">IF(OR(A22="",B22="",F22&lt;&gt;"Cuenta de viajes"),"",SUMIFS($I$16:$I$65,$F$16:$F$65,"Cuenta de viajes",$B$16:$B$65,"&lt;="&amp;B22))</f>
        <v/>
      </c>
      <c r="P22" s="83" t="str">
        <f aca="false">IF(N22="","",$B$6+H$5*M22-N22)</f>
        <v/>
      </c>
      <c r="Q22" s="83" t="str">
        <f aca="false">IF(N22="","",$B$6+I$5*M22-N22)</f>
        <v/>
      </c>
      <c r="R22" s="83" t="str">
        <f aca="false">IF(N22="","",$B$6+J$5*M22-N22)</f>
        <v/>
      </c>
      <c r="S22" s="83" t="str">
        <f aca="false">IF(N22="","",$B$6+K$5*M22-N22)</f>
        <v/>
      </c>
    </row>
    <row r="23" customFormat="false" ht="15" hidden="false" customHeight="false" outlineLevel="0" collapsed="false">
      <c r="A23" s="49"/>
      <c r="B23" s="62"/>
      <c r="C23" s="28"/>
      <c r="D23" s="31"/>
      <c r="E23" s="23" t="str">
        <f aca="false">IF(OR(A23="",C23=""),"",C23/MAX(1,N(D23)))</f>
        <v/>
      </c>
      <c r="F23" s="49"/>
      <c r="G23" s="49"/>
      <c r="H23" s="28"/>
      <c r="I23" s="23" t="str">
        <f aca="false">IF(A23="","",IF(H23&lt;&gt;"",H23,E23))</f>
        <v/>
      </c>
      <c r="J23" s="34" t="str">
        <f aca="false">IF(N23="","",$B$6+$B$4*M23-N23)</f>
        <v/>
      </c>
      <c r="K23" s="27" t="str">
        <f aca="false">IF(A23="","",IF(F23&lt;&gt;"Cuenta de viajes","— lo pagas tú",IF(OR(B23="",E23=""),"Falta fecha o coste",IF(J23&lt;0,"🔴 Faltan "&amp;TEXT(-J23,"#,##0")&amp;" €",IF(J23&lt;$B$4,"🟡 Justo","🟢 Llega")))))</f>
        <v/>
      </c>
      <c r="L23" s="40"/>
      <c r="M23" s="82" t="str">
        <f aca="false">IF(OR(A23="",B23=""),"",MAX(0,(YEAR(B23)-YEAR($B$5))*12+MONTH(B23)-MONTH($B$5)+1))</f>
        <v/>
      </c>
      <c r="N23" s="83" t="str">
        <f aca="false">IF(OR(A23="",B23="",F23&lt;&gt;"Cuenta de viajes"),"",SUMIFS($I$16:$I$65,$F$16:$F$65,"Cuenta de viajes",$B$16:$B$65,"&lt;="&amp;B23))</f>
        <v/>
      </c>
      <c r="P23" s="83" t="str">
        <f aca="false">IF(N23="","",$B$6+H$5*M23-N23)</f>
        <v/>
      </c>
      <c r="Q23" s="83" t="str">
        <f aca="false">IF(N23="","",$B$6+I$5*M23-N23)</f>
        <v/>
      </c>
      <c r="R23" s="83" t="str">
        <f aca="false">IF(N23="","",$B$6+J$5*M23-N23)</f>
        <v/>
      </c>
      <c r="S23" s="83" t="str">
        <f aca="false">IF(N23="","",$B$6+K$5*M23-N23)</f>
        <v/>
      </c>
    </row>
    <row r="24" customFormat="false" ht="15" hidden="false" customHeight="false" outlineLevel="0" collapsed="false">
      <c r="A24" s="49"/>
      <c r="B24" s="62"/>
      <c r="C24" s="28"/>
      <c r="D24" s="31"/>
      <c r="E24" s="23" t="str">
        <f aca="false">IF(OR(A24="",C24=""),"",C24/MAX(1,N(D24)))</f>
        <v/>
      </c>
      <c r="F24" s="49"/>
      <c r="G24" s="49"/>
      <c r="H24" s="28"/>
      <c r="I24" s="23" t="str">
        <f aca="false">IF(A24="","",IF(H24&lt;&gt;"",H24,E24))</f>
        <v/>
      </c>
      <c r="J24" s="34" t="str">
        <f aca="false">IF(N24="","",$B$6+$B$4*M24-N24)</f>
        <v/>
      </c>
      <c r="K24" s="27" t="str">
        <f aca="false">IF(A24="","",IF(F24&lt;&gt;"Cuenta de viajes","— lo pagas tú",IF(OR(B24="",E24=""),"Falta fecha o coste",IF(J24&lt;0,"🔴 Faltan "&amp;TEXT(-J24,"#,##0")&amp;" €",IF(J24&lt;$B$4,"🟡 Justo","🟢 Llega")))))</f>
        <v/>
      </c>
      <c r="L24" s="40"/>
      <c r="M24" s="82" t="str">
        <f aca="false">IF(OR(A24="",B24=""),"",MAX(0,(YEAR(B24)-YEAR($B$5))*12+MONTH(B24)-MONTH($B$5)+1))</f>
        <v/>
      </c>
      <c r="N24" s="83" t="str">
        <f aca="false">IF(OR(A24="",B24="",F24&lt;&gt;"Cuenta de viajes"),"",SUMIFS($I$16:$I$65,$F$16:$F$65,"Cuenta de viajes",$B$16:$B$65,"&lt;="&amp;B24))</f>
        <v/>
      </c>
      <c r="P24" s="83" t="str">
        <f aca="false">IF(N24="","",$B$6+H$5*M24-N24)</f>
        <v/>
      </c>
      <c r="Q24" s="83" t="str">
        <f aca="false">IF(N24="","",$B$6+I$5*M24-N24)</f>
        <v/>
      </c>
      <c r="R24" s="83" t="str">
        <f aca="false">IF(N24="","",$B$6+J$5*M24-N24)</f>
        <v/>
      </c>
      <c r="S24" s="83" t="str">
        <f aca="false">IF(N24="","",$B$6+K$5*M24-N24)</f>
        <v/>
      </c>
    </row>
    <row r="25" customFormat="false" ht="15" hidden="false" customHeight="false" outlineLevel="0" collapsed="false">
      <c r="A25" s="49"/>
      <c r="B25" s="62"/>
      <c r="C25" s="28"/>
      <c r="D25" s="31"/>
      <c r="E25" s="23" t="str">
        <f aca="false">IF(OR(A25="",C25=""),"",C25/MAX(1,N(D25)))</f>
        <v/>
      </c>
      <c r="F25" s="49"/>
      <c r="G25" s="49"/>
      <c r="H25" s="28"/>
      <c r="I25" s="23" t="str">
        <f aca="false">IF(A25="","",IF(H25&lt;&gt;"",H25,E25))</f>
        <v/>
      </c>
      <c r="J25" s="34" t="str">
        <f aca="false">IF(N25="","",$B$6+$B$4*M25-N25)</f>
        <v/>
      </c>
      <c r="K25" s="27" t="str">
        <f aca="false">IF(A25="","",IF(F25&lt;&gt;"Cuenta de viajes","— lo pagas tú",IF(OR(B25="",E25=""),"Falta fecha o coste",IF(J25&lt;0,"🔴 Faltan "&amp;TEXT(-J25,"#,##0")&amp;" €",IF(J25&lt;$B$4,"🟡 Justo","🟢 Llega")))))</f>
        <v/>
      </c>
      <c r="L25" s="40"/>
      <c r="M25" s="82" t="str">
        <f aca="false">IF(OR(A25="",B25=""),"",MAX(0,(YEAR(B25)-YEAR($B$5))*12+MONTH(B25)-MONTH($B$5)+1))</f>
        <v/>
      </c>
      <c r="N25" s="83" t="str">
        <f aca="false">IF(OR(A25="",B25="",F25&lt;&gt;"Cuenta de viajes"),"",SUMIFS($I$16:$I$65,$F$16:$F$65,"Cuenta de viajes",$B$16:$B$65,"&lt;="&amp;B25))</f>
        <v/>
      </c>
      <c r="P25" s="83" t="str">
        <f aca="false">IF(N25="","",$B$6+H$5*M25-N25)</f>
        <v/>
      </c>
      <c r="Q25" s="83" t="str">
        <f aca="false">IF(N25="","",$B$6+I$5*M25-N25)</f>
        <v/>
      </c>
      <c r="R25" s="83" t="str">
        <f aca="false">IF(N25="","",$B$6+J$5*M25-N25)</f>
        <v/>
      </c>
      <c r="S25" s="83" t="str">
        <f aca="false">IF(N25="","",$B$6+K$5*M25-N25)</f>
        <v/>
      </c>
    </row>
    <row r="26" customFormat="false" ht="15" hidden="false" customHeight="false" outlineLevel="0" collapsed="false">
      <c r="A26" s="49"/>
      <c r="B26" s="62"/>
      <c r="C26" s="28"/>
      <c r="D26" s="31"/>
      <c r="E26" s="23" t="str">
        <f aca="false">IF(OR(A26="",C26=""),"",C26/MAX(1,N(D26)))</f>
        <v/>
      </c>
      <c r="F26" s="49"/>
      <c r="G26" s="49"/>
      <c r="H26" s="28"/>
      <c r="I26" s="23" t="str">
        <f aca="false">IF(A26="","",IF(H26&lt;&gt;"",H26,E26))</f>
        <v/>
      </c>
      <c r="J26" s="34" t="str">
        <f aca="false">IF(N26="","",$B$6+$B$4*M26-N26)</f>
        <v/>
      </c>
      <c r="K26" s="27" t="str">
        <f aca="false">IF(A26="","",IF(F26&lt;&gt;"Cuenta de viajes","— lo pagas tú",IF(OR(B26="",E26=""),"Falta fecha o coste",IF(J26&lt;0,"🔴 Faltan "&amp;TEXT(-J26,"#,##0")&amp;" €",IF(J26&lt;$B$4,"🟡 Justo","🟢 Llega")))))</f>
        <v/>
      </c>
      <c r="L26" s="40"/>
      <c r="M26" s="82" t="str">
        <f aca="false">IF(OR(A26="",B26=""),"",MAX(0,(YEAR(B26)-YEAR($B$5))*12+MONTH(B26)-MONTH($B$5)+1))</f>
        <v/>
      </c>
      <c r="N26" s="83" t="str">
        <f aca="false">IF(OR(A26="",B26="",F26&lt;&gt;"Cuenta de viajes"),"",SUMIFS($I$16:$I$65,$F$16:$F$65,"Cuenta de viajes",$B$16:$B$65,"&lt;="&amp;B26))</f>
        <v/>
      </c>
      <c r="P26" s="83" t="str">
        <f aca="false">IF(N26="","",$B$6+H$5*M26-N26)</f>
        <v/>
      </c>
      <c r="Q26" s="83" t="str">
        <f aca="false">IF(N26="","",$B$6+I$5*M26-N26)</f>
        <v/>
      </c>
      <c r="R26" s="83" t="str">
        <f aca="false">IF(N26="","",$B$6+J$5*M26-N26)</f>
        <v/>
      </c>
      <c r="S26" s="83" t="str">
        <f aca="false">IF(N26="","",$B$6+K$5*M26-N26)</f>
        <v/>
      </c>
    </row>
    <row r="27" customFormat="false" ht="15" hidden="false" customHeight="false" outlineLevel="0" collapsed="false">
      <c r="A27" s="49"/>
      <c r="B27" s="62"/>
      <c r="C27" s="28"/>
      <c r="D27" s="31"/>
      <c r="E27" s="23" t="str">
        <f aca="false">IF(OR(A27="",C27=""),"",C27/MAX(1,N(D27)))</f>
        <v/>
      </c>
      <c r="F27" s="49"/>
      <c r="G27" s="49"/>
      <c r="H27" s="28"/>
      <c r="I27" s="23" t="str">
        <f aca="false">IF(A27="","",IF(H27&lt;&gt;"",H27,E27))</f>
        <v/>
      </c>
      <c r="J27" s="34" t="str">
        <f aca="false">IF(N27="","",$B$6+$B$4*M27-N27)</f>
        <v/>
      </c>
      <c r="K27" s="27" t="str">
        <f aca="false">IF(A27="","",IF(F27&lt;&gt;"Cuenta de viajes","— lo pagas tú",IF(OR(B27="",E27=""),"Falta fecha o coste",IF(J27&lt;0,"🔴 Faltan "&amp;TEXT(-J27,"#,##0")&amp;" €",IF(J27&lt;$B$4,"🟡 Justo","🟢 Llega")))))</f>
        <v/>
      </c>
      <c r="L27" s="40"/>
      <c r="M27" s="82" t="str">
        <f aca="false">IF(OR(A27="",B27=""),"",MAX(0,(YEAR(B27)-YEAR($B$5))*12+MONTH(B27)-MONTH($B$5)+1))</f>
        <v/>
      </c>
      <c r="N27" s="83" t="str">
        <f aca="false">IF(OR(A27="",B27="",F27&lt;&gt;"Cuenta de viajes"),"",SUMIFS($I$16:$I$65,$F$16:$F$65,"Cuenta de viajes",$B$16:$B$65,"&lt;="&amp;B27))</f>
        <v/>
      </c>
      <c r="P27" s="83" t="str">
        <f aca="false">IF(N27="","",$B$6+H$5*M27-N27)</f>
        <v/>
      </c>
      <c r="Q27" s="83" t="str">
        <f aca="false">IF(N27="","",$B$6+I$5*M27-N27)</f>
        <v/>
      </c>
      <c r="R27" s="83" t="str">
        <f aca="false">IF(N27="","",$B$6+J$5*M27-N27)</f>
        <v/>
      </c>
      <c r="S27" s="83" t="str">
        <f aca="false">IF(N27="","",$B$6+K$5*M27-N27)</f>
        <v/>
      </c>
    </row>
    <row r="28" customFormat="false" ht="15" hidden="false" customHeight="false" outlineLevel="0" collapsed="false">
      <c r="A28" s="49"/>
      <c r="B28" s="62"/>
      <c r="C28" s="28"/>
      <c r="D28" s="31"/>
      <c r="E28" s="23" t="str">
        <f aca="false">IF(OR(A28="",C28=""),"",C28/MAX(1,N(D28)))</f>
        <v/>
      </c>
      <c r="F28" s="49"/>
      <c r="G28" s="49"/>
      <c r="H28" s="28"/>
      <c r="I28" s="23" t="str">
        <f aca="false">IF(A28="","",IF(H28&lt;&gt;"",H28,E28))</f>
        <v/>
      </c>
      <c r="J28" s="34" t="str">
        <f aca="false">IF(N28="","",$B$6+$B$4*M28-N28)</f>
        <v/>
      </c>
      <c r="K28" s="27" t="str">
        <f aca="false">IF(A28="","",IF(F28&lt;&gt;"Cuenta de viajes","— lo pagas tú",IF(OR(B28="",E28=""),"Falta fecha o coste",IF(J28&lt;0,"🔴 Faltan "&amp;TEXT(-J28,"#,##0")&amp;" €",IF(J28&lt;$B$4,"🟡 Justo","🟢 Llega")))))</f>
        <v/>
      </c>
      <c r="L28" s="40"/>
      <c r="M28" s="82" t="str">
        <f aca="false">IF(OR(A28="",B28=""),"",MAX(0,(YEAR(B28)-YEAR($B$5))*12+MONTH(B28)-MONTH($B$5)+1))</f>
        <v/>
      </c>
      <c r="N28" s="83" t="str">
        <f aca="false">IF(OR(A28="",B28="",F28&lt;&gt;"Cuenta de viajes"),"",SUMIFS($I$16:$I$65,$F$16:$F$65,"Cuenta de viajes",$B$16:$B$65,"&lt;="&amp;B28))</f>
        <v/>
      </c>
      <c r="P28" s="83" t="str">
        <f aca="false">IF(N28="","",$B$6+H$5*M28-N28)</f>
        <v/>
      </c>
      <c r="Q28" s="83" t="str">
        <f aca="false">IF(N28="","",$B$6+I$5*M28-N28)</f>
        <v/>
      </c>
      <c r="R28" s="83" t="str">
        <f aca="false">IF(N28="","",$B$6+J$5*M28-N28)</f>
        <v/>
      </c>
      <c r="S28" s="83" t="str">
        <f aca="false">IF(N28="","",$B$6+K$5*M28-N28)</f>
        <v/>
      </c>
    </row>
    <row r="29" customFormat="false" ht="15" hidden="false" customHeight="false" outlineLevel="0" collapsed="false">
      <c r="A29" s="49"/>
      <c r="B29" s="62"/>
      <c r="C29" s="28"/>
      <c r="D29" s="31"/>
      <c r="E29" s="23" t="str">
        <f aca="false">IF(OR(A29="",C29=""),"",C29/MAX(1,N(D29)))</f>
        <v/>
      </c>
      <c r="F29" s="49"/>
      <c r="G29" s="49"/>
      <c r="H29" s="28"/>
      <c r="I29" s="23" t="str">
        <f aca="false">IF(A29="","",IF(H29&lt;&gt;"",H29,E29))</f>
        <v/>
      </c>
      <c r="J29" s="34" t="str">
        <f aca="false">IF(N29="","",$B$6+$B$4*M29-N29)</f>
        <v/>
      </c>
      <c r="K29" s="27" t="str">
        <f aca="false">IF(A29="","",IF(F29&lt;&gt;"Cuenta de viajes","— lo pagas tú",IF(OR(B29="",E29=""),"Falta fecha o coste",IF(J29&lt;0,"🔴 Faltan "&amp;TEXT(-J29,"#,##0")&amp;" €",IF(J29&lt;$B$4,"🟡 Justo","🟢 Llega")))))</f>
        <v/>
      </c>
      <c r="L29" s="40"/>
      <c r="M29" s="82" t="str">
        <f aca="false">IF(OR(A29="",B29=""),"",MAX(0,(YEAR(B29)-YEAR($B$5))*12+MONTH(B29)-MONTH($B$5)+1))</f>
        <v/>
      </c>
      <c r="N29" s="83" t="str">
        <f aca="false">IF(OR(A29="",B29="",F29&lt;&gt;"Cuenta de viajes"),"",SUMIFS($I$16:$I$65,$F$16:$F$65,"Cuenta de viajes",$B$16:$B$65,"&lt;="&amp;B29))</f>
        <v/>
      </c>
      <c r="P29" s="83" t="str">
        <f aca="false">IF(N29="","",$B$6+H$5*M29-N29)</f>
        <v/>
      </c>
      <c r="Q29" s="83" t="str">
        <f aca="false">IF(N29="","",$B$6+I$5*M29-N29)</f>
        <v/>
      </c>
      <c r="R29" s="83" t="str">
        <f aca="false">IF(N29="","",$B$6+J$5*M29-N29)</f>
        <v/>
      </c>
      <c r="S29" s="83" t="str">
        <f aca="false">IF(N29="","",$B$6+K$5*M29-N29)</f>
        <v/>
      </c>
    </row>
    <row r="30" customFormat="false" ht="15" hidden="false" customHeight="false" outlineLevel="0" collapsed="false">
      <c r="A30" s="49"/>
      <c r="B30" s="62"/>
      <c r="C30" s="28"/>
      <c r="D30" s="31"/>
      <c r="E30" s="23" t="str">
        <f aca="false">IF(OR(A30="",C30=""),"",C30/MAX(1,N(D30)))</f>
        <v/>
      </c>
      <c r="F30" s="49"/>
      <c r="G30" s="49"/>
      <c r="H30" s="28"/>
      <c r="I30" s="23" t="str">
        <f aca="false">IF(A30="","",IF(H30&lt;&gt;"",H30,E30))</f>
        <v/>
      </c>
      <c r="J30" s="34" t="str">
        <f aca="false">IF(N30="","",$B$6+$B$4*M30-N30)</f>
        <v/>
      </c>
      <c r="K30" s="27" t="str">
        <f aca="false">IF(A30="","",IF(F30&lt;&gt;"Cuenta de viajes","— lo pagas tú",IF(OR(B30="",E30=""),"Falta fecha o coste",IF(J30&lt;0,"🔴 Faltan "&amp;TEXT(-J30,"#,##0")&amp;" €",IF(J30&lt;$B$4,"🟡 Justo","🟢 Llega")))))</f>
        <v/>
      </c>
      <c r="L30" s="40"/>
      <c r="M30" s="82" t="str">
        <f aca="false">IF(OR(A30="",B30=""),"",MAX(0,(YEAR(B30)-YEAR($B$5))*12+MONTH(B30)-MONTH($B$5)+1))</f>
        <v/>
      </c>
      <c r="N30" s="83" t="str">
        <f aca="false">IF(OR(A30="",B30="",F30&lt;&gt;"Cuenta de viajes"),"",SUMIFS($I$16:$I$65,$F$16:$F$65,"Cuenta de viajes",$B$16:$B$65,"&lt;="&amp;B30))</f>
        <v/>
      </c>
      <c r="P30" s="83" t="str">
        <f aca="false">IF(N30="","",$B$6+H$5*M30-N30)</f>
        <v/>
      </c>
      <c r="Q30" s="83" t="str">
        <f aca="false">IF(N30="","",$B$6+I$5*M30-N30)</f>
        <v/>
      </c>
      <c r="R30" s="83" t="str">
        <f aca="false">IF(N30="","",$B$6+J$5*M30-N30)</f>
        <v/>
      </c>
      <c r="S30" s="83" t="str">
        <f aca="false">IF(N30="","",$B$6+K$5*M30-N30)</f>
        <v/>
      </c>
    </row>
    <row r="31" customFormat="false" ht="15" hidden="false" customHeight="false" outlineLevel="0" collapsed="false">
      <c r="A31" s="49"/>
      <c r="B31" s="62"/>
      <c r="C31" s="28"/>
      <c r="D31" s="31"/>
      <c r="E31" s="23" t="str">
        <f aca="false">IF(OR(A31="",C31=""),"",C31/MAX(1,N(D31)))</f>
        <v/>
      </c>
      <c r="F31" s="49"/>
      <c r="G31" s="49"/>
      <c r="H31" s="28"/>
      <c r="I31" s="23" t="str">
        <f aca="false">IF(A31="","",IF(H31&lt;&gt;"",H31,E31))</f>
        <v/>
      </c>
      <c r="J31" s="34" t="str">
        <f aca="false">IF(N31="","",$B$6+$B$4*M31-N31)</f>
        <v/>
      </c>
      <c r="K31" s="27" t="str">
        <f aca="false">IF(A31="","",IF(F31&lt;&gt;"Cuenta de viajes","— lo pagas tú",IF(OR(B31="",E31=""),"Falta fecha o coste",IF(J31&lt;0,"🔴 Faltan "&amp;TEXT(-J31,"#,##0")&amp;" €",IF(J31&lt;$B$4,"🟡 Justo","🟢 Llega")))))</f>
        <v/>
      </c>
      <c r="L31" s="40"/>
      <c r="M31" s="82" t="str">
        <f aca="false">IF(OR(A31="",B31=""),"",MAX(0,(YEAR(B31)-YEAR($B$5))*12+MONTH(B31)-MONTH($B$5)+1))</f>
        <v/>
      </c>
      <c r="N31" s="83" t="str">
        <f aca="false">IF(OR(A31="",B31="",F31&lt;&gt;"Cuenta de viajes"),"",SUMIFS($I$16:$I$65,$F$16:$F$65,"Cuenta de viajes",$B$16:$B$65,"&lt;="&amp;B31))</f>
        <v/>
      </c>
      <c r="P31" s="83" t="str">
        <f aca="false">IF(N31="","",$B$6+H$5*M31-N31)</f>
        <v/>
      </c>
      <c r="Q31" s="83" t="str">
        <f aca="false">IF(N31="","",$B$6+I$5*M31-N31)</f>
        <v/>
      </c>
      <c r="R31" s="83" t="str">
        <f aca="false">IF(N31="","",$B$6+J$5*M31-N31)</f>
        <v/>
      </c>
      <c r="S31" s="83" t="str">
        <f aca="false">IF(N31="","",$B$6+K$5*M31-N31)</f>
        <v/>
      </c>
    </row>
    <row r="32" customFormat="false" ht="15" hidden="false" customHeight="false" outlineLevel="0" collapsed="false">
      <c r="A32" s="49"/>
      <c r="B32" s="62"/>
      <c r="C32" s="28"/>
      <c r="D32" s="31"/>
      <c r="E32" s="23" t="str">
        <f aca="false">IF(OR(A32="",C32=""),"",C32/MAX(1,N(D32)))</f>
        <v/>
      </c>
      <c r="F32" s="49"/>
      <c r="G32" s="49"/>
      <c r="H32" s="28"/>
      <c r="I32" s="23" t="str">
        <f aca="false">IF(A32="","",IF(H32&lt;&gt;"",H32,E32))</f>
        <v/>
      </c>
      <c r="J32" s="34" t="str">
        <f aca="false">IF(N32="","",$B$6+$B$4*M32-N32)</f>
        <v/>
      </c>
      <c r="K32" s="27" t="str">
        <f aca="false">IF(A32="","",IF(F32&lt;&gt;"Cuenta de viajes","— lo pagas tú",IF(OR(B32="",E32=""),"Falta fecha o coste",IF(J32&lt;0,"🔴 Faltan "&amp;TEXT(-J32,"#,##0")&amp;" €",IF(J32&lt;$B$4,"🟡 Justo","🟢 Llega")))))</f>
        <v/>
      </c>
      <c r="L32" s="40"/>
      <c r="M32" s="82" t="str">
        <f aca="false">IF(OR(A32="",B32=""),"",MAX(0,(YEAR(B32)-YEAR($B$5))*12+MONTH(B32)-MONTH($B$5)+1))</f>
        <v/>
      </c>
      <c r="N32" s="83" t="str">
        <f aca="false">IF(OR(A32="",B32="",F32&lt;&gt;"Cuenta de viajes"),"",SUMIFS($I$16:$I$65,$F$16:$F$65,"Cuenta de viajes",$B$16:$B$65,"&lt;="&amp;B32))</f>
        <v/>
      </c>
      <c r="P32" s="83" t="str">
        <f aca="false">IF(N32="","",$B$6+H$5*M32-N32)</f>
        <v/>
      </c>
      <c r="Q32" s="83" t="str">
        <f aca="false">IF(N32="","",$B$6+I$5*M32-N32)</f>
        <v/>
      </c>
      <c r="R32" s="83" t="str">
        <f aca="false">IF(N32="","",$B$6+J$5*M32-N32)</f>
        <v/>
      </c>
      <c r="S32" s="83" t="str">
        <f aca="false">IF(N32="","",$B$6+K$5*M32-N32)</f>
        <v/>
      </c>
    </row>
    <row r="33" customFormat="false" ht="15" hidden="false" customHeight="false" outlineLevel="0" collapsed="false">
      <c r="A33" s="49"/>
      <c r="B33" s="62"/>
      <c r="C33" s="28"/>
      <c r="D33" s="31"/>
      <c r="E33" s="23" t="str">
        <f aca="false">IF(OR(A33="",C33=""),"",C33/MAX(1,N(D33)))</f>
        <v/>
      </c>
      <c r="F33" s="49"/>
      <c r="G33" s="49"/>
      <c r="H33" s="28"/>
      <c r="I33" s="23" t="str">
        <f aca="false">IF(A33="","",IF(H33&lt;&gt;"",H33,E33))</f>
        <v/>
      </c>
      <c r="J33" s="34" t="str">
        <f aca="false">IF(N33="","",$B$6+$B$4*M33-N33)</f>
        <v/>
      </c>
      <c r="K33" s="27" t="str">
        <f aca="false">IF(A33="","",IF(F33&lt;&gt;"Cuenta de viajes","— lo pagas tú",IF(OR(B33="",E33=""),"Falta fecha o coste",IF(J33&lt;0,"🔴 Faltan "&amp;TEXT(-J33,"#,##0")&amp;" €",IF(J33&lt;$B$4,"🟡 Justo","🟢 Llega")))))</f>
        <v/>
      </c>
      <c r="L33" s="40"/>
      <c r="M33" s="82" t="str">
        <f aca="false">IF(OR(A33="",B33=""),"",MAX(0,(YEAR(B33)-YEAR($B$5))*12+MONTH(B33)-MONTH($B$5)+1))</f>
        <v/>
      </c>
      <c r="N33" s="83" t="str">
        <f aca="false">IF(OR(A33="",B33="",F33&lt;&gt;"Cuenta de viajes"),"",SUMIFS($I$16:$I$65,$F$16:$F$65,"Cuenta de viajes",$B$16:$B$65,"&lt;="&amp;B33))</f>
        <v/>
      </c>
      <c r="P33" s="83" t="str">
        <f aca="false">IF(N33="","",$B$6+H$5*M33-N33)</f>
        <v/>
      </c>
      <c r="Q33" s="83" t="str">
        <f aca="false">IF(N33="","",$B$6+I$5*M33-N33)</f>
        <v/>
      </c>
      <c r="R33" s="83" t="str">
        <f aca="false">IF(N33="","",$B$6+J$5*M33-N33)</f>
        <v/>
      </c>
      <c r="S33" s="83" t="str">
        <f aca="false">IF(N33="","",$B$6+K$5*M33-N33)</f>
        <v/>
      </c>
    </row>
    <row r="34" customFormat="false" ht="15" hidden="false" customHeight="false" outlineLevel="0" collapsed="false">
      <c r="A34" s="49"/>
      <c r="B34" s="62"/>
      <c r="C34" s="28"/>
      <c r="D34" s="31"/>
      <c r="E34" s="23" t="str">
        <f aca="false">IF(OR(A34="",C34=""),"",C34/MAX(1,N(D34)))</f>
        <v/>
      </c>
      <c r="F34" s="49"/>
      <c r="G34" s="49"/>
      <c r="H34" s="28"/>
      <c r="I34" s="23" t="str">
        <f aca="false">IF(A34="","",IF(H34&lt;&gt;"",H34,E34))</f>
        <v/>
      </c>
      <c r="J34" s="34" t="str">
        <f aca="false">IF(N34="","",$B$6+$B$4*M34-N34)</f>
        <v/>
      </c>
      <c r="K34" s="27" t="str">
        <f aca="false">IF(A34="","",IF(F34&lt;&gt;"Cuenta de viajes","— lo pagas tú",IF(OR(B34="",E34=""),"Falta fecha o coste",IF(J34&lt;0,"🔴 Faltan "&amp;TEXT(-J34,"#,##0")&amp;" €",IF(J34&lt;$B$4,"🟡 Justo","🟢 Llega")))))</f>
        <v/>
      </c>
      <c r="L34" s="40"/>
      <c r="M34" s="82" t="str">
        <f aca="false">IF(OR(A34="",B34=""),"",MAX(0,(YEAR(B34)-YEAR($B$5))*12+MONTH(B34)-MONTH($B$5)+1))</f>
        <v/>
      </c>
      <c r="N34" s="83" t="str">
        <f aca="false">IF(OR(A34="",B34="",F34&lt;&gt;"Cuenta de viajes"),"",SUMIFS($I$16:$I$65,$F$16:$F$65,"Cuenta de viajes",$B$16:$B$65,"&lt;="&amp;B34))</f>
        <v/>
      </c>
      <c r="P34" s="83" t="str">
        <f aca="false">IF(N34="","",$B$6+H$5*M34-N34)</f>
        <v/>
      </c>
      <c r="Q34" s="83" t="str">
        <f aca="false">IF(N34="","",$B$6+I$5*M34-N34)</f>
        <v/>
      </c>
      <c r="R34" s="83" t="str">
        <f aca="false">IF(N34="","",$B$6+J$5*M34-N34)</f>
        <v/>
      </c>
      <c r="S34" s="83" t="str">
        <f aca="false">IF(N34="","",$B$6+K$5*M34-N34)</f>
        <v/>
      </c>
    </row>
    <row r="35" customFormat="false" ht="15" hidden="false" customHeight="false" outlineLevel="0" collapsed="false">
      <c r="A35" s="49"/>
      <c r="B35" s="62"/>
      <c r="C35" s="28"/>
      <c r="D35" s="31"/>
      <c r="E35" s="23" t="str">
        <f aca="false">IF(OR(A35="",C35=""),"",C35/MAX(1,N(D35)))</f>
        <v/>
      </c>
      <c r="F35" s="49"/>
      <c r="G35" s="49"/>
      <c r="H35" s="28"/>
      <c r="I35" s="23" t="str">
        <f aca="false">IF(A35="","",IF(H35&lt;&gt;"",H35,E35))</f>
        <v/>
      </c>
      <c r="J35" s="34" t="str">
        <f aca="false">IF(N35="","",$B$6+$B$4*M35-N35)</f>
        <v/>
      </c>
      <c r="K35" s="27" t="str">
        <f aca="false">IF(A35="","",IF(F35&lt;&gt;"Cuenta de viajes","— lo pagas tú",IF(OR(B35="",E35=""),"Falta fecha o coste",IF(J35&lt;0,"🔴 Faltan "&amp;TEXT(-J35,"#,##0")&amp;" €",IF(J35&lt;$B$4,"🟡 Justo","🟢 Llega")))))</f>
        <v/>
      </c>
      <c r="L35" s="40"/>
      <c r="M35" s="82" t="str">
        <f aca="false">IF(OR(A35="",B35=""),"",MAX(0,(YEAR(B35)-YEAR($B$5))*12+MONTH(B35)-MONTH($B$5)+1))</f>
        <v/>
      </c>
      <c r="N35" s="83" t="str">
        <f aca="false">IF(OR(A35="",B35="",F35&lt;&gt;"Cuenta de viajes"),"",SUMIFS($I$16:$I$65,$F$16:$F$65,"Cuenta de viajes",$B$16:$B$65,"&lt;="&amp;B35))</f>
        <v/>
      </c>
      <c r="P35" s="83" t="str">
        <f aca="false">IF(N35="","",$B$6+H$5*M35-N35)</f>
        <v/>
      </c>
      <c r="Q35" s="83" t="str">
        <f aca="false">IF(N35="","",$B$6+I$5*M35-N35)</f>
        <v/>
      </c>
      <c r="R35" s="83" t="str">
        <f aca="false">IF(N35="","",$B$6+J$5*M35-N35)</f>
        <v/>
      </c>
      <c r="S35" s="83" t="str">
        <f aca="false">IF(N35="","",$B$6+K$5*M35-N35)</f>
        <v/>
      </c>
    </row>
    <row r="36" customFormat="false" ht="15" hidden="false" customHeight="false" outlineLevel="0" collapsed="false">
      <c r="A36" s="49"/>
      <c r="B36" s="62"/>
      <c r="C36" s="28"/>
      <c r="D36" s="31"/>
      <c r="E36" s="23" t="str">
        <f aca="false">IF(OR(A36="",C36=""),"",C36/MAX(1,N(D36)))</f>
        <v/>
      </c>
      <c r="F36" s="49"/>
      <c r="G36" s="49"/>
      <c r="H36" s="28"/>
      <c r="I36" s="23" t="str">
        <f aca="false">IF(A36="","",IF(H36&lt;&gt;"",H36,E36))</f>
        <v/>
      </c>
      <c r="J36" s="34" t="str">
        <f aca="false">IF(N36="","",$B$6+$B$4*M36-N36)</f>
        <v/>
      </c>
      <c r="K36" s="27" t="str">
        <f aca="false">IF(A36="","",IF(F36&lt;&gt;"Cuenta de viajes","— lo pagas tú",IF(OR(B36="",E36=""),"Falta fecha o coste",IF(J36&lt;0,"🔴 Faltan "&amp;TEXT(-J36,"#,##0")&amp;" €",IF(J36&lt;$B$4,"🟡 Justo","🟢 Llega")))))</f>
        <v/>
      </c>
      <c r="L36" s="40"/>
      <c r="M36" s="82" t="str">
        <f aca="false">IF(OR(A36="",B36=""),"",MAX(0,(YEAR(B36)-YEAR($B$5))*12+MONTH(B36)-MONTH($B$5)+1))</f>
        <v/>
      </c>
      <c r="N36" s="83" t="str">
        <f aca="false">IF(OR(A36="",B36="",F36&lt;&gt;"Cuenta de viajes"),"",SUMIFS($I$16:$I$65,$F$16:$F$65,"Cuenta de viajes",$B$16:$B$65,"&lt;="&amp;B36))</f>
        <v/>
      </c>
      <c r="P36" s="83" t="str">
        <f aca="false">IF(N36="","",$B$6+H$5*M36-N36)</f>
        <v/>
      </c>
      <c r="Q36" s="83" t="str">
        <f aca="false">IF(N36="","",$B$6+I$5*M36-N36)</f>
        <v/>
      </c>
      <c r="R36" s="83" t="str">
        <f aca="false">IF(N36="","",$B$6+J$5*M36-N36)</f>
        <v/>
      </c>
      <c r="S36" s="83" t="str">
        <f aca="false">IF(N36="","",$B$6+K$5*M36-N36)</f>
        <v/>
      </c>
    </row>
    <row r="37" customFormat="false" ht="15" hidden="false" customHeight="false" outlineLevel="0" collapsed="false">
      <c r="A37" s="49"/>
      <c r="B37" s="62"/>
      <c r="C37" s="28"/>
      <c r="D37" s="31"/>
      <c r="E37" s="23" t="str">
        <f aca="false">IF(OR(A37="",C37=""),"",C37/MAX(1,N(D37)))</f>
        <v/>
      </c>
      <c r="F37" s="49"/>
      <c r="G37" s="49"/>
      <c r="H37" s="28"/>
      <c r="I37" s="23" t="str">
        <f aca="false">IF(A37="","",IF(H37&lt;&gt;"",H37,E37))</f>
        <v/>
      </c>
      <c r="J37" s="34" t="str">
        <f aca="false">IF(N37="","",$B$6+$B$4*M37-N37)</f>
        <v/>
      </c>
      <c r="K37" s="27" t="str">
        <f aca="false">IF(A37="","",IF(F37&lt;&gt;"Cuenta de viajes","— lo pagas tú",IF(OR(B37="",E37=""),"Falta fecha o coste",IF(J37&lt;0,"🔴 Faltan "&amp;TEXT(-J37,"#,##0")&amp;" €",IF(J37&lt;$B$4,"🟡 Justo","🟢 Llega")))))</f>
        <v/>
      </c>
      <c r="L37" s="40"/>
      <c r="M37" s="82" t="str">
        <f aca="false">IF(OR(A37="",B37=""),"",MAX(0,(YEAR(B37)-YEAR($B$5))*12+MONTH(B37)-MONTH($B$5)+1))</f>
        <v/>
      </c>
      <c r="N37" s="83" t="str">
        <f aca="false">IF(OR(A37="",B37="",F37&lt;&gt;"Cuenta de viajes"),"",SUMIFS($I$16:$I$65,$F$16:$F$65,"Cuenta de viajes",$B$16:$B$65,"&lt;="&amp;B37))</f>
        <v/>
      </c>
      <c r="P37" s="83" t="str">
        <f aca="false">IF(N37="","",$B$6+H$5*M37-N37)</f>
        <v/>
      </c>
      <c r="Q37" s="83" t="str">
        <f aca="false">IF(N37="","",$B$6+I$5*M37-N37)</f>
        <v/>
      </c>
      <c r="R37" s="83" t="str">
        <f aca="false">IF(N37="","",$B$6+J$5*M37-N37)</f>
        <v/>
      </c>
      <c r="S37" s="83" t="str">
        <f aca="false">IF(N37="","",$B$6+K$5*M37-N37)</f>
        <v/>
      </c>
    </row>
    <row r="38" customFormat="false" ht="15" hidden="false" customHeight="false" outlineLevel="0" collapsed="false">
      <c r="A38" s="49"/>
      <c r="B38" s="62"/>
      <c r="C38" s="28"/>
      <c r="D38" s="31"/>
      <c r="E38" s="23" t="str">
        <f aca="false">IF(OR(A38="",C38=""),"",C38/MAX(1,N(D38)))</f>
        <v/>
      </c>
      <c r="F38" s="49"/>
      <c r="G38" s="49"/>
      <c r="H38" s="28"/>
      <c r="I38" s="23" t="str">
        <f aca="false">IF(A38="","",IF(H38&lt;&gt;"",H38,E38))</f>
        <v/>
      </c>
      <c r="J38" s="34" t="str">
        <f aca="false">IF(N38="","",$B$6+$B$4*M38-N38)</f>
        <v/>
      </c>
      <c r="K38" s="27" t="str">
        <f aca="false">IF(A38="","",IF(F38&lt;&gt;"Cuenta de viajes","— lo pagas tú",IF(OR(B38="",E38=""),"Falta fecha o coste",IF(J38&lt;0,"🔴 Faltan "&amp;TEXT(-J38,"#,##0")&amp;" €",IF(J38&lt;$B$4,"🟡 Justo","🟢 Llega")))))</f>
        <v/>
      </c>
      <c r="L38" s="40"/>
      <c r="M38" s="82" t="str">
        <f aca="false">IF(OR(A38="",B38=""),"",MAX(0,(YEAR(B38)-YEAR($B$5))*12+MONTH(B38)-MONTH($B$5)+1))</f>
        <v/>
      </c>
      <c r="N38" s="83" t="str">
        <f aca="false">IF(OR(A38="",B38="",F38&lt;&gt;"Cuenta de viajes"),"",SUMIFS($I$16:$I$65,$F$16:$F$65,"Cuenta de viajes",$B$16:$B$65,"&lt;="&amp;B38))</f>
        <v/>
      </c>
      <c r="P38" s="83" t="str">
        <f aca="false">IF(N38="","",$B$6+H$5*M38-N38)</f>
        <v/>
      </c>
      <c r="Q38" s="83" t="str">
        <f aca="false">IF(N38="","",$B$6+I$5*M38-N38)</f>
        <v/>
      </c>
      <c r="R38" s="83" t="str">
        <f aca="false">IF(N38="","",$B$6+J$5*M38-N38)</f>
        <v/>
      </c>
      <c r="S38" s="83" t="str">
        <f aca="false">IF(N38="","",$B$6+K$5*M38-N38)</f>
        <v/>
      </c>
    </row>
    <row r="39" customFormat="false" ht="15" hidden="false" customHeight="false" outlineLevel="0" collapsed="false">
      <c r="A39" s="49"/>
      <c r="B39" s="62"/>
      <c r="C39" s="28"/>
      <c r="D39" s="31"/>
      <c r="E39" s="23" t="str">
        <f aca="false">IF(OR(A39="",C39=""),"",C39/MAX(1,N(D39)))</f>
        <v/>
      </c>
      <c r="F39" s="49"/>
      <c r="G39" s="49"/>
      <c r="H39" s="28"/>
      <c r="I39" s="23" t="str">
        <f aca="false">IF(A39="","",IF(H39&lt;&gt;"",H39,E39))</f>
        <v/>
      </c>
      <c r="J39" s="34" t="str">
        <f aca="false">IF(N39="","",$B$6+$B$4*M39-N39)</f>
        <v/>
      </c>
      <c r="K39" s="27" t="str">
        <f aca="false">IF(A39="","",IF(F39&lt;&gt;"Cuenta de viajes","— lo pagas tú",IF(OR(B39="",E39=""),"Falta fecha o coste",IF(J39&lt;0,"🔴 Faltan "&amp;TEXT(-J39,"#,##0")&amp;" €",IF(J39&lt;$B$4,"🟡 Justo","🟢 Llega")))))</f>
        <v/>
      </c>
      <c r="L39" s="40"/>
      <c r="M39" s="82" t="str">
        <f aca="false">IF(OR(A39="",B39=""),"",MAX(0,(YEAR(B39)-YEAR($B$5))*12+MONTH(B39)-MONTH($B$5)+1))</f>
        <v/>
      </c>
      <c r="N39" s="83" t="str">
        <f aca="false">IF(OR(A39="",B39="",F39&lt;&gt;"Cuenta de viajes"),"",SUMIFS($I$16:$I$65,$F$16:$F$65,"Cuenta de viajes",$B$16:$B$65,"&lt;="&amp;B39))</f>
        <v/>
      </c>
      <c r="P39" s="83" t="str">
        <f aca="false">IF(N39="","",$B$6+H$5*M39-N39)</f>
        <v/>
      </c>
      <c r="Q39" s="83" t="str">
        <f aca="false">IF(N39="","",$B$6+I$5*M39-N39)</f>
        <v/>
      </c>
      <c r="R39" s="83" t="str">
        <f aca="false">IF(N39="","",$B$6+J$5*M39-N39)</f>
        <v/>
      </c>
      <c r="S39" s="83" t="str">
        <f aca="false">IF(N39="","",$B$6+K$5*M39-N39)</f>
        <v/>
      </c>
    </row>
    <row r="40" customFormat="false" ht="15" hidden="false" customHeight="false" outlineLevel="0" collapsed="false">
      <c r="A40" s="49"/>
      <c r="B40" s="62"/>
      <c r="C40" s="28"/>
      <c r="D40" s="31"/>
      <c r="E40" s="23" t="str">
        <f aca="false">IF(OR(A40="",C40=""),"",C40/MAX(1,N(D40)))</f>
        <v/>
      </c>
      <c r="F40" s="49"/>
      <c r="G40" s="49"/>
      <c r="H40" s="28"/>
      <c r="I40" s="23" t="str">
        <f aca="false">IF(A40="","",IF(H40&lt;&gt;"",H40,E40))</f>
        <v/>
      </c>
      <c r="J40" s="34" t="str">
        <f aca="false">IF(N40="","",$B$6+$B$4*M40-N40)</f>
        <v/>
      </c>
      <c r="K40" s="27" t="str">
        <f aca="false">IF(A40="","",IF(F40&lt;&gt;"Cuenta de viajes","— lo pagas tú",IF(OR(B40="",E40=""),"Falta fecha o coste",IF(J40&lt;0,"🔴 Faltan "&amp;TEXT(-J40,"#,##0")&amp;" €",IF(J40&lt;$B$4,"🟡 Justo","🟢 Llega")))))</f>
        <v/>
      </c>
      <c r="L40" s="40"/>
      <c r="M40" s="82" t="str">
        <f aca="false">IF(OR(A40="",B40=""),"",MAX(0,(YEAR(B40)-YEAR($B$5))*12+MONTH(B40)-MONTH($B$5)+1))</f>
        <v/>
      </c>
      <c r="N40" s="83" t="str">
        <f aca="false">IF(OR(A40="",B40="",F40&lt;&gt;"Cuenta de viajes"),"",SUMIFS($I$16:$I$65,$F$16:$F$65,"Cuenta de viajes",$B$16:$B$65,"&lt;="&amp;B40))</f>
        <v/>
      </c>
      <c r="P40" s="83" t="str">
        <f aca="false">IF(N40="","",$B$6+H$5*M40-N40)</f>
        <v/>
      </c>
      <c r="Q40" s="83" t="str">
        <f aca="false">IF(N40="","",$B$6+I$5*M40-N40)</f>
        <v/>
      </c>
      <c r="R40" s="83" t="str">
        <f aca="false">IF(N40="","",$B$6+J$5*M40-N40)</f>
        <v/>
      </c>
      <c r="S40" s="83" t="str">
        <f aca="false">IF(N40="","",$B$6+K$5*M40-N40)</f>
        <v/>
      </c>
    </row>
    <row r="41" customFormat="false" ht="15" hidden="false" customHeight="false" outlineLevel="0" collapsed="false">
      <c r="A41" s="49"/>
      <c r="B41" s="62"/>
      <c r="C41" s="28"/>
      <c r="D41" s="31"/>
      <c r="E41" s="23" t="str">
        <f aca="false">IF(OR(A41="",C41=""),"",C41/MAX(1,N(D41)))</f>
        <v/>
      </c>
      <c r="F41" s="49"/>
      <c r="G41" s="49"/>
      <c r="H41" s="28"/>
      <c r="I41" s="23" t="str">
        <f aca="false">IF(A41="","",IF(H41&lt;&gt;"",H41,E41))</f>
        <v/>
      </c>
      <c r="J41" s="34" t="str">
        <f aca="false">IF(N41="","",$B$6+$B$4*M41-N41)</f>
        <v/>
      </c>
      <c r="K41" s="27" t="str">
        <f aca="false">IF(A41="","",IF(F41&lt;&gt;"Cuenta de viajes","— lo pagas tú",IF(OR(B41="",E41=""),"Falta fecha o coste",IF(J41&lt;0,"🔴 Faltan "&amp;TEXT(-J41,"#,##0")&amp;" €",IF(J41&lt;$B$4,"🟡 Justo","🟢 Llega")))))</f>
        <v/>
      </c>
      <c r="L41" s="40"/>
      <c r="M41" s="82" t="str">
        <f aca="false">IF(OR(A41="",B41=""),"",MAX(0,(YEAR(B41)-YEAR($B$5))*12+MONTH(B41)-MONTH($B$5)+1))</f>
        <v/>
      </c>
      <c r="N41" s="83" t="str">
        <f aca="false">IF(OR(A41="",B41="",F41&lt;&gt;"Cuenta de viajes"),"",SUMIFS($I$16:$I$65,$F$16:$F$65,"Cuenta de viajes",$B$16:$B$65,"&lt;="&amp;B41))</f>
        <v/>
      </c>
      <c r="P41" s="83" t="str">
        <f aca="false">IF(N41="","",$B$6+H$5*M41-N41)</f>
        <v/>
      </c>
      <c r="Q41" s="83" t="str">
        <f aca="false">IF(N41="","",$B$6+I$5*M41-N41)</f>
        <v/>
      </c>
      <c r="R41" s="83" t="str">
        <f aca="false">IF(N41="","",$B$6+J$5*M41-N41)</f>
        <v/>
      </c>
      <c r="S41" s="83" t="str">
        <f aca="false">IF(N41="","",$B$6+K$5*M41-N41)</f>
        <v/>
      </c>
    </row>
    <row r="42" customFormat="false" ht="15" hidden="false" customHeight="false" outlineLevel="0" collapsed="false">
      <c r="A42" s="49"/>
      <c r="B42" s="62"/>
      <c r="C42" s="28"/>
      <c r="D42" s="31"/>
      <c r="E42" s="23" t="str">
        <f aca="false">IF(OR(A42="",C42=""),"",C42/MAX(1,N(D42)))</f>
        <v/>
      </c>
      <c r="F42" s="49"/>
      <c r="G42" s="49"/>
      <c r="H42" s="28"/>
      <c r="I42" s="23" t="str">
        <f aca="false">IF(A42="","",IF(H42&lt;&gt;"",H42,E42))</f>
        <v/>
      </c>
      <c r="J42" s="34" t="str">
        <f aca="false">IF(N42="","",$B$6+$B$4*M42-N42)</f>
        <v/>
      </c>
      <c r="K42" s="27" t="str">
        <f aca="false">IF(A42="","",IF(F42&lt;&gt;"Cuenta de viajes","— lo pagas tú",IF(OR(B42="",E42=""),"Falta fecha o coste",IF(J42&lt;0,"🔴 Faltan "&amp;TEXT(-J42,"#,##0")&amp;" €",IF(J42&lt;$B$4,"🟡 Justo","🟢 Llega")))))</f>
        <v/>
      </c>
      <c r="L42" s="40"/>
      <c r="M42" s="82" t="str">
        <f aca="false">IF(OR(A42="",B42=""),"",MAX(0,(YEAR(B42)-YEAR($B$5))*12+MONTH(B42)-MONTH($B$5)+1))</f>
        <v/>
      </c>
      <c r="N42" s="83" t="str">
        <f aca="false">IF(OR(A42="",B42="",F42&lt;&gt;"Cuenta de viajes"),"",SUMIFS($I$16:$I$65,$F$16:$F$65,"Cuenta de viajes",$B$16:$B$65,"&lt;="&amp;B42))</f>
        <v/>
      </c>
      <c r="P42" s="83" t="str">
        <f aca="false">IF(N42="","",$B$6+H$5*M42-N42)</f>
        <v/>
      </c>
      <c r="Q42" s="83" t="str">
        <f aca="false">IF(N42="","",$B$6+I$5*M42-N42)</f>
        <v/>
      </c>
      <c r="R42" s="83" t="str">
        <f aca="false">IF(N42="","",$B$6+J$5*M42-N42)</f>
        <v/>
      </c>
      <c r="S42" s="83" t="str">
        <f aca="false">IF(N42="","",$B$6+K$5*M42-N42)</f>
        <v/>
      </c>
    </row>
    <row r="43" customFormat="false" ht="15" hidden="false" customHeight="false" outlineLevel="0" collapsed="false">
      <c r="A43" s="49"/>
      <c r="B43" s="62"/>
      <c r="C43" s="28"/>
      <c r="D43" s="31"/>
      <c r="E43" s="23" t="str">
        <f aca="false">IF(OR(A43="",C43=""),"",C43/MAX(1,N(D43)))</f>
        <v/>
      </c>
      <c r="F43" s="49"/>
      <c r="G43" s="49"/>
      <c r="H43" s="28"/>
      <c r="I43" s="23" t="str">
        <f aca="false">IF(A43="","",IF(H43&lt;&gt;"",H43,E43))</f>
        <v/>
      </c>
      <c r="J43" s="34" t="str">
        <f aca="false">IF(N43="","",$B$6+$B$4*M43-N43)</f>
        <v/>
      </c>
      <c r="K43" s="27" t="str">
        <f aca="false">IF(A43="","",IF(F43&lt;&gt;"Cuenta de viajes","— lo pagas tú",IF(OR(B43="",E43=""),"Falta fecha o coste",IF(J43&lt;0,"🔴 Faltan "&amp;TEXT(-J43,"#,##0")&amp;" €",IF(J43&lt;$B$4,"🟡 Justo","🟢 Llega")))))</f>
        <v/>
      </c>
      <c r="L43" s="40"/>
      <c r="M43" s="82" t="str">
        <f aca="false">IF(OR(A43="",B43=""),"",MAX(0,(YEAR(B43)-YEAR($B$5))*12+MONTH(B43)-MONTH($B$5)+1))</f>
        <v/>
      </c>
      <c r="N43" s="83" t="str">
        <f aca="false">IF(OR(A43="",B43="",F43&lt;&gt;"Cuenta de viajes"),"",SUMIFS($I$16:$I$65,$F$16:$F$65,"Cuenta de viajes",$B$16:$B$65,"&lt;="&amp;B43))</f>
        <v/>
      </c>
      <c r="P43" s="83" t="str">
        <f aca="false">IF(N43="","",$B$6+H$5*M43-N43)</f>
        <v/>
      </c>
      <c r="Q43" s="83" t="str">
        <f aca="false">IF(N43="","",$B$6+I$5*M43-N43)</f>
        <v/>
      </c>
      <c r="R43" s="83" t="str">
        <f aca="false">IF(N43="","",$B$6+J$5*M43-N43)</f>
        <v/>
      </c>
      <c r="S43" s="83" t="str">
        <f aca="false">IF(N43="","",$B$6+K$5*M43-N43)</f>
        <v/>
      </c>
    </row>
    <row r="44" customFormat="false" ht="15" hidden="false" customHeight="false" outlineLevel="0" collapsed="false">
      <c r="A44" s="49"/>
      <c r="B44" s="62"/>
      <c r="C44" s="28"/>
      <c r="D44" s="31"/>
      <c r="E44" s="23" t="str">
        <f aca="false">IF(OR(A44="",C44=""),"",C44/MAX(1,N(D44)))</f>
        <v/>
      </c>
      <c r="F44" s="49"/>
      <c r="G44" s="49"/>
      <c r="H44" s="28"/>
      <c r="I44" s="23" t="str">
        <f aca="false">IF(A44="","",IF(H44&lt;&gt;"",H44,E44))</f>
        <v/>
      </c>
      <c r="J44" s="34" t="str">
        <f aca="false">IF(N44="","",$B$6+$B$4*M44-N44)</f>
        <v/>
      </c>
      <c r="K44" s="27" t="str">
        <f aca="false">IF(A44="","",IF(F44&lt;&gt;"Cuenta de viajes","— lo pagas tú",IF(OR(B44="",E44=""),"Falta fecha o coste",IF(J44&lt;0,"🔴 Faltan "&amp;TEXT(-J44,"#,##0")&amp;" €",IF(J44&lt;$B$4,"🟡 Justo","🟢 Llega")))))</f>
        <v/>
      </c>
      <c r="L44" s="40"/>
      <c r="M44" s="82" t="str">
        <f aca="false">IF(OR(A44="",B44=""),"",MAX(0,(YEAR(B44)-YEAR($B$5))*12+MONTH(B44)-MONTH($B$5)+1))</f>
        <v/>
      </c>
      <c r="N44" s="83" t="str">
        <f aca="false">IF(OR(A44="",B44="",F44&lt;&gt;"Cuenta de viajes"),"",SUMIFS($I$16:$I$65,$F$16:$F$65,"Cuenta de viajes",$B$16:$B$65,"&lt;="&amp;B44))</f>
        <v/>
      </c>
      <c r="P44" s="83" t="str">
        <f aca="false">IF(N44="","",$B$6+H$5*M44-N44)</f>
        <v/>
      </c>
      <c r="Q44" s="83" t="str">
        <f aca="false">IF(N44="","",$B$6+I$5*M44-N44)</f>
        <v/>
      </c>
      <c r="R44" s="83" t="str">
        <f aca="false">IF(N44="","",$B$6+J$5*M44-N44)</f>
        <v/>
      </c>
      <c r="S44" s="83" t="str">
        <f aca="false">IF(N44="","",$B$6+K$5*M44-N44)</f>
        <v/>
      </c>
    </row>
    <row r="45" customFormat="false" ht="15" hidden="false" customHeight="false" outlineLevel="0" collapsed="false">
      <c r="A45" s="49"/>
      <c r="B45" s="62"/>
      <c r="C45" s="28"/>
      <c r="D45" s="31"/>
      <c r="E45" s="23" t="str">
        <f aca="false">IF(OR(A45="",C45=""),"",C45/MAX(1,N(D45)))</f>
        <v/>
      </c>
      <c r="F45" s="49"/>
      <c r="G45" s="49"/>
      <c r="H45" s="28"/>
      <c r="I45" s="23" t="str">
        <f aca="false">IF(A45="","",IF(H45&lt;&gt;"",H45,E45))</f>
        <v/>
      </c>
      <c r="J45" s="34" t="str">
        <f aca="false">IF(N45="","",$B$6+$B$4*M45-N45)</f>
        <v/>
      </c>
      <c r="K45" s="27" t="str">
        <f aca="false">IF(A45="","",IF(F45&lt;&gt;"Cuenta de viajes","— lo pagas tú",IF(OR(B45="",E45=""),"Falta fecha o coste",IF(J45&lt;0,"🔴 Faltan "&amp;TEXT(-J45,"#,##0")&amp;" €",IF(J45&lt;$B$4,"🟡 Justo","🟢 Llega")))))</f>
        <v/>
      </c>
      <c r="L45" s="40"/>
      <c r="M45" s="82" t="str">
        <f aca="false">IF(OR(A45="",B45=""),"",MAX(0,(YEAR(B45)-YEAR($B$5))*12+MONTH(B45)-MONTH($B$5)+1))</f>
        <v/>
      </c>
      <c r="N45" s="83" t="str">
        <f aca="false">IF(OR(A45="",B45="",F45&lt;&gt;"Cuenta de viajes"),"",SUMIFS($I$16:$I$65,$F$16:$F$65,"Cuenta de viajes",$B$16:$B$65,"&lt;="&amp;B45))</f>
        <v/>
      </c>
      <c r="P45" s="83" t="str">
        <f aca="false">IF(N45="","",$B$6+H$5*M45-N45)</f>
        <v/>
      </c>
      <c r="Q45" s="83" t="str">
        <f aca="false">IF(N45="","",$B$6+I$5*M45-N45)</f>
        <v/>
      </c>
      <c r="R45" s="83" t="str">
        <f aca="false">IF(N45="","",$B$6+J$5*M45-N45)</f>
        <v/>
      </c>
      <c r="S45" s="83" t="str">
        <f aca="false">IF(N45="","",$B$6+K$5*M45-N45)</f>
        <v/>
      </c>
    </row>
    <row r="46" customFormat="false" ht="15" hidden="false" customHeight="false" outlineLevel="0" collapsed="false">
      <c r="A46" s="49"/>
      <c r="B46" s="62"/>
      <c r="C46" s="28"/>
      <c r="D46" s="31"/>
      <c r="E46" s="23" t="str">
        <f aca="false">IF(OR(A46="",C46=""),"",C46/MAX(1,N(D46)))</f>
        <v/>
      </c>
      <c r="F46" s="49"/>
      <c r="G46" s="49"/>
      <c r="H46" s="28"/>
      <c r="I46" s="23" t="str">
        <f aca="false">IF(A46="","",IF(H46&lt;&gt;"",H46,E46))</f>
        <v/>
      </c>
      <c r="J46" s="34" t="str">
        <f aca="false">IF(N46="","",$B$6+$B$4*M46-N46)</f>
        <v/>
      </c>
      <c r="K46" s="27" t="str">
        <f aca="false">IF(A46="","",IF(F46&lt;&gt;"Cuenta de viajes","— lo pagas tú",IF(OR(B46="",E46=""),"Falta fecha o coste",IF(J46&lt;0,"🔴 Faltan "&amp;TEXT(-J46,"#,##0")&amp;" €",IF(J46&lt;$B$4,"🟡 Justo","🟢 Llega")))))</f>
        <v/>
      </c>
      <c r="L46" s="40"/>
      <c r="M46" s="82" t="str">
        <f aca="false">IF(OR(A46="",B46=""),"",MAX(0,(YEAR(B46)-YEAR($B$5))*12+MONTH(B46)-MONTH($B$5)+1))</f>
        <v/>
      </c>
      <c r="N46" s="83" t="str">
        <f aca="false">IF(OR(A46="",B46="",F46&lt;&gt;"Cuenta de viajes"),"",SUMIFS($I$16:$I$65,$F$16:$F$65,"Cuenta de viajes",$B$16:$B$65,"&lt;="&amp;B46))</f>
        <v/>
      </c>
      <c r="P46" s="83" t="str">
        <f aca="false">IF(N46="","",$B$6+H$5*M46-N46)</f>
        <v/>
      </c>
      <c r="Q46" s="83" t="str">
        <f aca="false">IF(N46="","",$B$6+I$5*M46-N46)</f>
        <v/>
      </c>
      <c r="R46" s="83" t="str">
        <f aca="false">IF(N46="","",$B$6+J$5*M46-N46)</f>
        <v/>
      </c>
      <c r="S46" s="83" t="str">
        <f aca="false">IF(N46="","",$B$6+K$5*M46-N46)</f>
        <v/>
      </c>
    </row>
    <row r="47" customFormat="false" ht="15" hidden="false" customHeight="false" outlineLevel="0" collapsed="false">
      <c r="A47" s="49"/>
      <c r="B47" s="62"/>
      <c r="C47" s="28"/>
      <c r="D47" s="31"/>
      <c r="E47" s="23" t="str">
        <f aca="false">IF(OR(A47="",C47=""),"",C47/MAX(1,N(D47)))</f>
        <v/>
      </c>
      <c r="F47" s="49"/>
      <c r="G47" s="49"/>
      <c r="H47" s="28"/>
      <c r="I47" s="23" t="str">
        <f aca="false">IF(A47="","",IF(H47&lt;&gt;"",H47,E47))</f>
        <v/>
      </c>
      <c r="J47" s="34" t="str">
        <f aca="false">IF(N47="","",$B$6+$B$4*M47-N47)</f>
        <v/>
      </c>
      <c r="K47" s="27" t="str">
        <f aca="false">IF(A47="","",IF(F47&lt;&gt;"Cuenta de viajes","— lo pagas tú",IF(OR(B47="",E47=""),"Falta fecha o coste",IF(J47&lt;0,"🔴 Faltan "&amp;TEXT(-J47,"#,##0")&amp;" €",IF(J47&lt;$B$4,"🟡 Justo","🟢 Llega")))))</f>
        <v/>
      </c>
      <c r="L47" s="40"/>
      <c r="M47" s="82" t="str">
        <f aca="false">IF(OR(A47="",B47=""),"",MAX(0,(YEAR(B47)-YEAR($B$5))*12+MONTH(B47)-MONTH($B$5)+1))</f>
        <v/>
      </c>
      <c r="N47" s="83" t="str">
        <f aca="false">IF(OR(A47="",B47="",F47&lt;&gt;"Cuenta de viajes"),"",SUMIFS($I$16:$I$65,$F$16:$F$65,"Cuenta de viajes",$B$16:$B$65,"&lt;="&amp;B47))</f>
        <v/>
      </c>
      <c r="P47" s="83" t="str">
        <f aca="false">IF(N47="","",$B$6+H$5*M47-N47)</f>
        <v/>
      </c>
      <c r="Q47" s="83" t="str">
        <f aca="false">IF(N47="","",$B$6+I$5*M47-N47)</f>
        <v/>
      </c>
      <c r="R47" s="83" t="str">
        <f aca="false">IF(N47="","",$B$6+J$5*M47-N47)</f>
        <v/>
      </c>
      <c r="S47" s="83" t="str">
        <f aca="false">IF(N47="","",$B$6+K$5*M47-N47)</f>
        <v/>
      </c>
    </row>
    <row r="48" customFormat="false" ht="15" hidden="false" customHeight="false" outlineLevel="0" collapsed="false">
      <c r="A48" s="49"/>
      <c r="B48" s="62"/>
      <c r="C48" s="28"/>
      <c r="D48" s="31"/>
      <c r="E48" s="23" t="str">
        <f aca="false">IF(OR(A48="",C48=""),"",C48/MAX(1,N(D48)))</f>
        <v/>
      </c>
      <c r="F48" s="49"/>
      <c r="G48" s="49"/>
      <c r="H48" s="28"/>
      <c r="I48" s="23" t="str">
        <f aca="false">IF(A48="","",IF(H48&lt;&gt;"",H48,E48))</f>
        <v/>
      </c>
      <c r="J48" s="34" t="str">
        <f aca="false">IF(N48="","",$B$6+$B$4*M48-N48)</f>
        <v/>
      </c>
      <c r="K48" s="27" t="str">
        <f aca="false">IF(A48="","",IF(F48&lt;&gt;"Cuenta de viajes","— lo pagas tú",IF(OR(B48="",E48=""),"Falta fecha o coste",IF(J48&lt;0,"🔴 Faltan "&amp;TEXT(-J48,"#,##0")&amp;" €",IF(J48&lt;$B$4,"🟡 Justo","🟢 Llega")))))</f>
        <v/>
      </c>
      <c r="L48" s="40"/>
      <c r="M48" s="82" t="str">
        <f aca="false">IF(OR(A48="",B48=""),"",MAX(0,(YEAR(B48)-YEAR($B$5))*12+MONTH(B48)-MONTH($B$5)+1))</f>
        <v/>
      </c>
      <c r="N48" s="83" t="str">
        <f aca="false">IF(OR(A48="",B48="",F48&lt;&gt;"Cuenta de viajes"),"",SUMIFS($I$16:$I$65,$F$16:$F$65,"Cuenta de viajes",$B$16:$B$65,"&lt;="&amp;B48))</f>
        <v/>
      </c>
      <c r="P48" s="83" t="str">
        <f aca="false">IF(N48="","",$B$6+H$5*M48-N48)</f>
        <v/>
      </c>
      <c r="Q48" s="83" t="str">
        <f aca="false">IF(N48="","",$B$6+I$5*M48-N48)</f>
        <v/>
      </c>
      <c r="R48" s="83" t="str">
        <f aca="false">IF(N48="","",$B$6+J$5*M48-N48)</f>
        <v/>
      </c>
      <c r="S48" s="83" t="str">
        <f aca="false">IF(N48="","",$B$6+K$5*M48-N48)</f>
        <v/>
      </c>
    </row>
    <row r="49" customFormat="false" ht="15" hidden="false" customHeight="false" outlineLevel="0" collapsed="false">
      <c r="A49" s="49"/>
      <c r="B49" s="62"/>
      <c r="C49" s="28"/>
      <c r="D49" s="31"/>
      <c r="E49" s="23" t="str">
        <f aca="false">IF(OR(A49="",C49=""),"",C49/MAX(1,N(D49)))</f>
        <v/>
      </c>
      <c r="F49" s="49"/>
      <c r="G49" s="49"/>
      <c r="H49" s="28"/>
      <c r="I49" s="23" t="str">
        <f aca="false">IF(A49="","",IF(H49&lt;&gt;"",H49,E49))</f>
        <v/>
      </c>
      <c r="J49" s="34" t="str">
        <f aca="false">IF(N49="","",$B$6+$B$4*M49-N49)</f>
        <v/>
      </c>
      <c r="K49" s="27" t="str">
        <f aca="false">IF(A49="","",IF(F49&lt;&gt;"Cuenta de viajes","— lo pagas tú",IF(OR(B49="",E49=""),"Falta fecha o coste",IF(J49&lt;0,"🔴 Faltan "&amp;TEXT(-J49,"#,##0")&amp;" €",IF(J49&lt;$B$4,"🟡 Justo","🟢 Llega")))))</f>
        <v/>
      </c>
      <c r="L49" s="40"/>
      <c r="M49" s="82" t="str">
        <f aca="false">IF(OR(A49="",B49=""),"",MAX(0,(YEAR(B49)-YEAR($B$5))*12+MONTH(B49)-MONTH($B$5)+1))</f>
        <v/>
      </c>
      <c r="N49" s="83" t="str">
        <f aca="false">IF(OR(A49="",B49="",F49&lt;&gt;"Cuenta de viajes"),"",SUMIFS($I$16:$I$65,$F$16:$F$65,"Cuenta de viajes",$B$16:$B$65,"&lt;="&amp;B49))</f>
        <v/>
      </c>
      <c r="P49" s="83" t="str">
        <f aca="false">IF(N49="","",$B$6+H$5*M49-N49)</f>
        <v/>
      </c>
      <c r="Q49" s="83" t="str">
        <f aca="false">IF(N49="","",$B$6+I$5*M49-N49)</f>
        <v/>
      </c>
      <c r="R49" s="83" t="str">
        <f aca="false">IF(N49="","",$B$6+J$5*M49-N49)</f>
        <v/>
      </c>
      <c r="S49" s="83" t="str">
        <f aca="false">IF(N49="","",$B$6+K$5*M49-N49)</f>
        <v/>
      </c>
    </row>
    <row r="50" customFormat="false" ht="15" hidden="false" customHeight="false" outlineLevel="0" collapsed="false">
      <c r="A50" s="49"/>
      <c r="B50" s="62"/>
      <c r="C50" s="28"/>
      <c r="D50" s="31"/>
      <c r="E50" s="23" t="str">
        <f aca="false">IF(OR(A50="",C50=""),"",C50/MAX(1,N(D50)))</f>
        <v/>
      </c>
      <c r="F50" s="49"/>
      <c r="G50" s="49"/>
      <c r="H50" s="28"/>
      <c r="I50" s="23" t="str">
        <f aca="false">IF(A50="","",IF(H50&lt;&gt;"",H50,E50))</f>
        <v/>
      </c>
      <c r="J50" s="34" t="str">
        <f aca="false">IF(N50="","",$B$6+$B$4*M50-N50)</f>
        <v/>
      </c>
      <c r="K50" s="27" t="str">
        <f aca="false">IF(A50="","",IF(F50&lt;&gt;"Cuenta de viajes","— lo pagas tú",IF(OR(B50="",E50=""),"Falta fecha o coste",IF(J50&lt;0,"🔴 Faltan "&amp;TEXT(-J50,"#,##0")&amp;" €",IF(J50&lt;$B$4,"🟡 Justo","🟢 Llega")))))</f>
        <v/>
      </c>
      <c r="L50" s="40"/>
      <c r="M50" s="82" t="str">
        <f aca="false">IF(OR(A50="",B50=""),"",MAX(0,(YEAR(B50)-YEAR($B$5))*12+MONTH(B50)-MONTH($B$5)+1))</f>
        <v/>
      </c>
      <c r="N50" s="83" t="str">
        <f aca="false">IF(OR(A50="",B50="",F50&lt;&gt;"Cuenta de viajes"),"",SUMIFS($I$16:$I$65,$F$16:$F$65,"Cuenta de viajes",$B$16:$B$65,"&lt;="&amp;B50))</f>
        <v/>
      </c>
      <c r="P50" s="83" t="str">
        <f aca="false">IF(N50="","",$B$6+H$5*M50-N50)</f>
        <v/>
      </c>
      <c r="Q50" s="83" t="str">
        <f aca="false">IF(N50="","",$B$6+I$5*M50-N50)</f>
        <v/>
      </c>
      <c r="R50" s="83" t="str">
        <f aca="false">IF(N50="","",$B$6+J$5*M50-N50)</f>
        <v/>
      </c>
      <c r="S50" s="83" t="str">
        <f aca="false">IF(N50="","",$B$6+K$5*M50-N50)</f>
        <v/>
      </c>
    </row>
    <row r="51" customFormat="false" ht="15" hidden="false" customHeight="false" outlineLevel="0" collapsed="false">
      <c r="A51" s="49"/>
      <c r="B51" s="62"/>
      <c r="C51" s="28"/>
      <c r="D51" s="31"/>
      <c r="E51" s="23" t="str">
        <f aca="false">IF(OR(A51="",C51=""),"",C51/MAX(1,N(D51)))</f>
        <v/>
      </c>
      <c r="F51" s="49"/>
      <c r="G51" s="49"/>
      <c r="H51" s="28"/>
      <c r="I51" s="23" t="str">
        <f aca="false">IF(A51="","",IF(H51&lt;&gt;"",H51,E51))</f>
        <v/>
      </c>
      <c r="J51" s="34" t="str">
        <f aca="false">IF(N51="","",$B$6+$B$4*M51-N51)</f>
        <v/>
      </c>
      <c r="K51" s="27" t="str">
        <f aca="false">IF(A51="","",IF(F51&lt;&gt;"Cuenta de viajes","— lo pagas tú",IF(OR(B51="",E51=""),"Falta fecha o coste",IF(J51&lt;0,"🔴 Faltan "&amp;TEXT(-J51,"#,##0")&amp;" €",IF(J51&lt;$B$4,"🟡 Justo","🟢 Llega")))))</f>
        <v/>
      </c>
      <c r="L51" s="40"/>
      <c r="M51" s="82" t="str">
        <f aca="false">IF(OR(A51="",B51=""),"",MAX(0,(YEAR(B51)-YEAR($B$5))*12+MONTH(B51)-MONTH($B$5)+1))</f>
        <v/>
      </c>
      <c r="N51" s="83" t="str">
        <f aca="false">IF(OR(A51="",B51="",F51&lt;&gt;"Cuenta de viajes"),"",SUMIFS($I$16:$I$65,$F$16:$F$65,"Cuenta de viajes",$B$16:$B$65,"&lt;="&amp;B51))</f>
        <v/>
      </c>
      <c r="P51" s="83" t="str">
        <f aca="false">IF(N51="","",$B$6+H$5*M51-N51)</f>
        <v/>
      </c>
      <c r="Q51" s="83" t="str">
        <f aca="false">IF(N51="","",$B$6+I$5*M51-N51)</f>
        <v/>
      </c>
      <c r="R51" s="83" t="str">
        <f aca="false">IF(N51="","",$B$6+J$5*M51-N51)</f>
        <v/>
      </c>
      <c r="S51" s="83" t="str">
        <f aca="false">IF(N51="","",$B$6+K$5*M51-N51)</f>
        <v/>
      </c>
    </row>
    <row r="52" customFormat="false" ht="15" hidden="false" customHeight="false" outlineLevel="0" collapsed="false">
      <c r="A52" s="49"/>
      <c r="B52" s="62"/>
      <c r="C52" s="28"/>
      <c r="D52" s="31"/>
      <c r="E52" s="23" t="str">
        <f aca="false">IF(OR(A52="",C52=""),"",C52/MAX(1,N(D52)))</f>
        <v/>
      </c>
      <c r="F52" s="49"/>
      <c r="G52" s="49"/>
      <c r="H52" s="28"/>
      <c r="I52" s="23" t="str">
        <f aca="false">IF(A52="","",IF(H52&lt;&gt;"",H52,E52))</f>
        <v/>
      </c>
      <c r="J52" s="34" t="str">
        <f aca="false">IF(N52="","",$B$6+$B$4*M52-N52)</f>
        <v/>
      </c>
      <c r="K52" s="27" t="str">
        <f aca="false">IF(A52="","",IF(F52&lt;&gt;"Cuenta de viajes","— lo pagas tú",IF(OR(B52="",E52=""),"Falta fecha o coste",IF(J52&lt;0,"🔴 Faltan "&amp;TEXT(-J52,"#,##0")&amp;" €",IF(J52&lt;$B$4,"🟡 Justo","🟢 Llega")))))</f>
        <v/>
      </c>
      <c r="L52" s="40"/>
      <c r="M52" s="82" t="str">
        <f aca="false">IF(OR(A52="",B52=""),"",MAX(0,(YEAR(B52)-YEAR($B$5))*12+MONTH(B52)-MONTH($B$5)+1))</f>
        <v/>
      </c>
      <c r="N52" s="83" t="str">
        <f aca="false">IF(OR(A52="",B52="",F52&lt;&gt;"Cuenta de viajes"),"",SUMIFS($I$16:$I$65,$F$16:$F$65,"Cuenta de viajes",$B$16:$B$65,"&lt;="&amp;B52))</f>
        <v/>
      </c>
      <c r="P52" s="83" t="str">
        <f aca="false">IF(N52="","",$B$6+H$5*M52-N52)</f>
        <v/>
      </c>
      <c r="Q52" s="83" t="str">
        <f aca="false">IF(N52="","",$B$6+I$5*M52-N52)</f>
        <v/>
      </c>
      <c r="R52" s="83" t="str">
        <f aca="false">IF(N52="","",$B$6+J$5*M52-N52)</f>
        <v/>
      </c>
      <c r="S52" s="83" t="str">
        <f aca="false">IF(N52="","",$B$6+K$5*M52-N52)</f>
        <v/>
      </c>
    </row>
    <row r="53" customFormat="false" ht="15" hidden="false" customHeight="false" outlineLevel="0" collapsed="false">
      <c r="A53" s="49"/>
      <c r="B53" s="62"/>
      <c r="C53" s="28"/>
      <c r="D53" s="31"/>
      <c r="E53" s="23" t="str">
        <f aca="false">IF(OR(A53="",C53=""),"",C53/MAX(1,N(D53)))</f>
        <v/>
      </c>
      <c r="F53" s="49"/>
      <c r="G53" s="49"/>
      <c r="H53" s="28"/>
      <c r="I53" s="23" t="str">
        <f aca="false">IF(A53="","",IF(H53&lt;&gt;"",H53,E53))</f>
        <v/>
      </c>
      <c r="J53" s="34" t="str">
        <f aca="false">IF(N53="","",$B$6+$B$4*M53-N53)</f>
        <v/>
      </c>
      <c r="K53" s="27" t="str">
        <f aca="false">IF(A53="","",IF(F53&lt;&gt;"Cuenta de viajes","— lo pagas tú",IF(OR(B53="",E53=""),"Falta fecha o coste",IF(J53&lt;0,"🔴 Faltan "&amp;TEXT(-J53,"#,##0")&amp;" €",IF(J53&lt;$B$4,"🟡 Justo","🟢 Llega")))))</f>
        <v/>
      </c>
      <c r="L53" s="40"/>
      <c r="M53" s="82" t="str">
        <f aca="false">IF(OR(A53="",B53=""),"",MAX(0,(YEAR(B53)-YEAR($B$5))*12+MONTH(B53)-MONTH($B$5)+1))</f>
        <v/>
      </c>
      <c r="N53" s="83" t="str">
        <f aca="false">IF(OR(A53="",B53="",F53&lt;&gt;"Cuenta de viajes"),"",SUMIFS($I$16:$I$65,$F$16:$F$65,"Cuenta de viajes",$B$16:$B$65,"&lt;="&amp;B53))</f>
        <v/>
      </c>
      <c r="P53" s="83" t="str">
        <f aca="false">IF(N53="","",$B$6+H$5*M53-N53)</f>
        <v/>
      </c>
      <c r="Q53" s="83" t="str">
        <f aca="false">IF(N53="","",$B$6+I$5*M53-N53)</f>
        <v/>
      </c>
      <c r="R53" s="83" t="str">
        <f aca="false">IF(N53="","",$B$6+J$5*M53-N53)</f>
        <v/>
      </c>
      <c r="S53" s="83" t="str">
        <f aca="false">IF(N53="","",$B$6+K$5*M53-N53)</f>
        <v/>
      </c>
    </row>
    <row r="54" customFormat="false" ht="15" hidden="false" customHeight="false" outlineLevel="0" collapsed="false">
      <c r="A54" s="49"/>
      <c r="B54" s="62"/>
      <c r="C54" s="28"/>
      <c r="D54" s="31"/>
      <c r="E54" s="23" t="str">
        <f aca="false">IF(OR(A54="",C54=""),"",C54/MAX(1,N(D54)))</f>
        <v/>
      </c>
      <c r="F54" s="49"/>
      <c r="G54" s="49"/>
      <c r="H54" s="28"/>
      <c r="I54" s="23" t="str">
        <f aca="false">IF(A54="","",IF(H54&lt;&gt;"",H54,E54))</f>
        <v/>
      </c>
      <c r="J54" s="34" t="str">
        <f aca="false">IF(N54="","",$B$6+$B$4*M54-N54)</f>
        <v/>
      </c>
      <c r="K54" s="27" t="str">
        <f aca="false">IF(A54="","",IF(F54&lt;&gt;"Cuenta de viajes","— lo pagas tú",IF(OR(B54="",E54=""),"Falta fecha o coste",IF(J54&lt;0,"🔴 Faltan "&amp;TEXT(-J54,"#,##0")&amp;" €",IF(J54&lt;$B$4,"🟡 Justo","🟢 Llega")))))</f>
        <v/>
      </c>
      <c r="L54" s="40"/>
      <c r="M54" s="82" t="str">
        <f aca="false">IF(OR(A54="",B54=""),"",MAX(0,(YEAR(B54)-YEAR($B$5))*12+MONTH(B54)-MONTH($B$5)+1))</f>
        <v/>
      </c>
      <c r="N54" s="83" t="str">
        <f aca="false">IF(OR(A54="",B54="",F54&lt;&gt;"Cuenta de viajes"),"",SUMIFS($I$16:$I$65,$F$16:$F$65,"Cuenta de viajes",$B$16:$B$65,"&lt;="&amp;B54))</f>
        <v/>
      </c>
      <c r="P54" s="83" t="str">
        <f aca="false">IF(N54="","",$B$6+H$5*M54-N54)</f>
        <v/>
      </c>
      <c r="Q54" s="83" t="str">
        <f aca="false">IF(N54="","",$B$6+I$5*M54-N54)</f>
        <v/>
      </c>
      <c r="R54" s="83" t="str">
        <f aca="false">IF(N54="","",$B$6+J$5*M54-N54)</f>
        <v/>
      </c>
      <c r="S54" s="83" t="str">
        <f aca="false">IF(N54="","",$B$6+K$5*M54-N54)</f>
        <v/>
      </c>
    </row>
    <row r="55" customFormat="false" ht="15" hidden="false" customHeight="false" outlineLevel="0" collapsed="false">
      <c r="A55" s="49"/>
      <c r="B55" s="62"/>
      <c r="C55" s="28"/>
      <c r="D55" s="31"/>
      <c r="E55" s="23" t="str">
        <f aca="false">IF(OR(A55="",C55=""),"",C55/MAX(1,N(D55)))</f>
        <v/>
      </c>
      <c r="F55" s="49"/>
      <c r="G55" s="49"/>
      <c r="H55" s="28"/>
      <c r="I55" s="23" t="str">
        <f aca="false">IF(A55="","",IF(H55&lt;&gt;"",H55,E55))</f>
        <v/>
      </c>
      <c r="J55" s="34" t="str">
        <f aca="false">IF(N55="","",$B$6+$B$4*M55-N55)</f>
        <v/>
      </c>
      <c r="K55" s="27" t="str">
        <f aca="false">IF(A55="","",IF(F55&lt;&gt;"Cuenta de viajes","— lo pagas tú",IF(OR(B55="",E55=""),"Falta fecha o coste",IF(J55&lt;0,"🔴 Faltan "&amp;TEXT(-J55,"#,##0")&amp;" €",IF(J55&lt;$B$4,"🟡 Justo","🟢 Llega")))))</f>
        <v/>
      </c>
      <c r="L55" s="40"/>
      <c r="M55" s="82" t="str">
        <f aca="false">IF(OR(A55="",B55=""),"",MAX(0,(YEAR(B55)-YEAR($B$5))*12+MONTH(B55)-MONTH($B$5)+1))</f>
        <v/>
      </c>
      <c r="N55" s="83" t="str">
        <f aca="false">IF(OR(A55="",B55="",F55&lt;&gt;"Cuenta de viajes"),"",SUMIFS($I$16:$I$65,$F$16:$F$65,"Cuenta de viajes",$B$16:$B$65,"&lt;="&amp;B55))</f>
        <v/>
      </c>
      <c r="P55" s="83" t="str">
        <f aca="false">IF(N55="","",$B$6+H$5*M55-N55)</f>
        <v/>
      </c>
      <c r="Q55" s="83" t="str">
        <f aca="false">IF(N55="","",$B$6+I$5*M55-N55)</f>
        <v/>
      </c>
      <c r="R55" s="83" t="str">
        <f aca="false">IF(N55="","",$B$6+J$5*M55-N55)</f>
        <v/>
      </c>
      <c r="S55" s="83" t="str">
        <f aca="false">IF(N55="","",$B$6+K$5*M55-N55)</f>
        <v/>
      </c>
    </row>
    <row r="56" customFormat="false" ht="15" hidden="false" customHeight="false" outlineLevel="0" collapsed="false">
      <c r="A56" s="49"/>
      <c r="B56" s="62"/>
      <c r="C56" s="28"/>
      <c r="D56" s="31"/>
      <c r="E56" s="23" t="str">
        <f aca="false">IF(OR(A56="",C56=""),"",C56/MAX(1,N(D56)))</f>
        <v/>
      </c>
      <c r="F56" s="49"/>
      <c r="G56" s="49"/>
      <c r="H56" s="28"/>
      <c r="I56" s="23" t="str">
        <f aca="false">IF(A56="","",IF(H56&lt;&gt;"",H56,E56))</f>
        <v/>
      </c>
      <c r="J56" s="34" t="str">
        <f aca="false">IF(N56="","",$B$6+$B$4*M56-N56)</f>
        <v/>
      </c>
      <c r="K56" s="27" t="str">
        <f aca="false">IF(A56="","",IF(F56&lt;&gt;"Cuenta de viajes","— lo pagas tú",IF(OR(B56="",E56=""),"Falta fecha o coste",IF(J56&lt;0,"🔴 Faltan "&amp;TEXT(-J56,"#,##0")&amp;" €",IF(J56&lt;$B$4,"🟡 Justo","🟢 Llega")))))</f>
        <v/>
      </c>
      <c r="L56" s="40"/>
      <c r="M56" s="82" t="str">
        <f aca="false">IF(OR(A56="",B56=""),"",MAX(0,(YEAR(B56)-YEAR($B$5))*12+MONTH(B56)-MONTH($B$5)+1))</f>
        <v/>
      </c>
      <c r="N56" s="83" t="str">
        <f aca="false">IF(OR(A56="",B56="",F56&lt;&gt;"Cuenta de viajes"),"",SUMIFS($I$16:$I$65,$F$16:$F$65,"Cuenta de viajes",$B$16:$B$65,"&lt;="&amp;B56))</f>
        <v/>
      </c>
      <c r="P56" s="83" t="str">
        <f aca="false">IF(N56="","",$B$6+H$5*M56-N56)</f>
        <v/>
      </c>
      <c r="Q56" s="83" t="str">
        <f aca="false">IF(N56="","",$B$6+I$5*M56-N56)</f>
        <v/>
      </c>
      <c r="R56" s="83" t="str">
        <f aca="false">IF(N56="","",$B$6+J$5*M56-N56)</f>
        <v/>
      </c>
      <c r="S56" s="83" t="str">
        <f aca="false">IF(N56="","",$B$6+K$5*M56-N56)</f>
        <v/>
      </c>
    </row>
    <row r="57" customFormat="false" ht="15" hidden="false" customHeight="false" outlineLevel="0" collapsed="false">
      <c r="A57" s="49"/>
      <c r="B57" s="62"/>
      <c r="C57" s="28"/>
      <c r="D57" s="31"/>
      <c r="E57" s="23" t="str">
        <f aca="false">IF(OR(A57="",C57=""),"",C57/MAX(1,N(D57)))</f>
        <v/>
      </c>
      <c r="F57" s="49"/>
      <c r="G57" s="49"/>
      <c r="H57" s="28"/>
      <c r="I57" s="23" t="str">
        <f aca="false">IF(A57="","",IF(H57&lt;&gt;"",H57,E57))</f>
        <v/>
      </c>
      <c r="J57" s="34" t="str">
        <f aca="false">IF(N57="","",$B$6+$B$4*M57-N57)</f>
        <v/>
      </c>
      <c r="K57" s="27" t="str">
        <f aca="false">IF(A57="","",IF(F57&lt;&gt;"Cuenta de viajes","— lo pagas tú",IF(OR(B57="",E57=""),"Falta fecha o coste",IF(J57&lt;0,"🔴 Faltan "&amp;TEXT(-J57,"#,##0")&amp;" €",IF(J57&lt;$B$4,"🟡 Justo","🟢 Llega")))))</f>
        <v/>
      </c>
      <c r="L57" s="40"/>
      <c r="M57" s="82" t="str">
        <f aca="false">IF(OR(A57="",B57=""),"",MAX(0,(YEAR(B57)-YEAR($B$5))*12+MONTH(B57)-MONTH($B$5)+1))</f>
        <v/>
      </c>
      <c r="N57" s="83" t="str">
        <f aca="false">IF(OR(A57="",B57="",F57&lt;&gt;"Cuenta de viajes"),"",SUMIFS($I$16:$I$65,$F$16:$F$65,"Cuenta de viajes",$B$16:$B$65,"&lt;="&amp;B57))</f>
        <v/>
      </c>
      <c r="P57" s="83" t="str">
        <f aca="false">IF(N57="","",$B$6+H$5*M57-N57)</f>
        <v/>
      </c>
      <c r="Q57" s="83" t="str">
        <f aca="false">IF(N57="","",$B$6+I$5*M57-N57)</f>
        <v/>
      </c>
      <c r="R57" s="83" t="str">
        <f aca="false">IF(N57="","",$B$6+J$5*M57-N57)</f>
        <v/>
      </c>
      <c r="S57" s="83" t="str">
        <f aca="false">IF(N57="","",$B$6+K$5*M57-N57)</f>
        <v/>
      </c>
    </row>
    <row r="58" customFormat="false" ht="15" hidden="false" customHeight="false" outlineLevel="0" collapsed="false">
      <c r="A58" s="49"/>
      <c r="B58" s="62"/>
      <c r="C58" s="28"/>
      <c r="D58" s="31"/>
      <c r="E58" s="23" t="str">
        <f aca="false">IF(OR(A58="",C58=""),"",C58/MAX(1,N(D58)))</f>
        <v/>
      </c>
      <c r="F58" s="49"/>
      <c r="G58" s="49"/>
      <c r="H58" s="28"/>
      <c r="I58" s="23" t="str">
        <f aca="false">IF(A58="","",IF(H58&lt;&gt;"",H58,E58))</f>
        <v/>
      </c>
      <c r="J58" s="34" t="str">
        <f aca="false">IF(N58="","",$B$6+$B$4*M58-N58)</f>
        <v/>
      </c>
      <c r="K58" s="27" t="str">
        <f aca="false">IF(A58="","",IF(F58&lt;&gt;"Cuenta de viajes","— lo pagas tú",IF(OR(B58="",E58=""),"Falta fecha o coste",IF(J58&lt;0,"🔴 Faltan "&amp;TEXT(-J58,"#,##0")&amp;" €",IF(J58&lt;$B$4,"🟡 Justo","🟢 Llega")))))</f>
        <v/>
      </c>
      <c r="L58" s="40"/>
      <c r="M58" s="82" t="str">
        <f aca="false">IF(OR(A58="",B58=""),"",MAX(0,(YEAR(B58)-YEAR($B$5))*12+MONTH(B58)-MONTH($B$5)+1))</f>
        <v/>
      </c>
      <c r="N58" s="83" t="str">
        <f aca="false">IF(OR(A58="",B58="",F58&lt;&gt;"Cuenta de viajes"),"",SUMIFS($I$16:$I$65,$F$16:$F$65,"Cuenta de viajes",$B$16:$B$65,"&lt;="&amp;B58))</f>
        <v/>
      </c>
      <c r="P58" s="83" t="str">
        <f aca="false">IF(N58="","",$B$6+H$5*M58-N58)</f>
        <v/>
      </c>
      <c r="Q58" s="83" t="str">
        <f aca="false">IF(N58="","",$B$6+I$5*M58-N58)</f>
        <v/>
      </c>
      <c r="R58" s="83" t="str">
        <f aca="false">IF(N58="","",$B$6+J$5*M58-N58)</f>
        <v/>
      </c>
      <c r="S58" s="83" t="str">
        <f aca="false">IF(N58="","",$B$6+K$5*M58-N58)</f>
        <v/>
      </c>
    </row>
    <row r="59" customFormat="false" ht="15" hidden="false" customHeight="false" outlineLevel="0" collapsed="false">
      <c r="A59" s="49"/>
      <c r="B59" s="62"/>
      <c r="C59" s="28"/>
      <c r="D59" s="31"/>
      <c r="E59" s="23" t="str">
        <f aca="false">IF(OR(A59="",C59=""),"",C59/MAX(1,N(D59)))</f>
        <v/>
      </c>
      <c r="F59" s="49"/>
      <c r="G59" s="49"/>
      <c r="H59" s="28"/>
      <c r="I59" s="23" t="str">
        <f aca="false">IF(A59="","",IF(H59&lt;&gt;"",H59,E59))</f>
        <v/>
      </c>
      <c r="J59" s="34" t="str">
        <f aca="false">IF(N59="","",$B$6+$B$4*M59-N59)</f>
        <v/>
      </c>
      <c r="K59" s="27" t="str">
        <f aca="false">IF(A59="","",IF(F59&lt;&gt;"Cuenta de viajes","— lo pagas tú",IF(OR(B59="",E59=""),"Falta fecha o coste",IF(J59&lt;0,"🔴 Faltan "&amp;TEXT(-J59,"#,##0")&amp;" €",IF(J59&lt;$B$4,"🟡 Justo","🟢 Llega")))))</f>
        <v/>
      </c>
      <c r="L59" s="40"/>
      <c r="M59" s="82" t="str">
        <f aca="false">IF(OR(A59="",B59=""),"",MAX(0,(YEAR(B59)-YEAR($B$5))*12+MONTH(B59)-MONTH($B$5)+1))</f>
        <v/>
      </c>
      <c r="N59" s="83" t="str">
        <f aca="false">IF(OR(A59="",B59="",F59&lt;&gt;"Cuenta de viajes"),"",SUMIFS($I$16:$I$65,$F$16:$F$65,"Cuenta de viajes",$B$16:$B$65,"&lt;="&amp;B59))</f>
        <v/>
      </c>
      <c r="P59" s="83" t="str">
        <f aca="false">IF(N59="","",$B$6+H$5*M59-N59)</f>
        <v/>
      </c>
      <c r="Q59" s="83" t="str">
        <f aca="false">IF(N59="","",$B$6+I$5*M59-N59)</f>
        <v/>
      </c>
      <c r="R59" s="83" t="str">
        <f aca="false">IF(N59="","",$B$6+J$5*M59-N59)</f>
        <v/>
      </c>
      <c r="S59" s="83" t="str">
        <f aca="false">IF(N59="","",$B$6+K$5*M59-N59)</f>
        <v/>
      </c>
    </row>
    <row r="60" customFormat="false" ht="15" hidden="false" customHeight="false" outlineLevel="0" collapsed="false">
      <c r="A60" s="49"/>
      <c r="B60" s="62"/>
      <c r="C60" s="28"/>
      <c r="D60" s="31"/>
      <c r="E60" s="23" t="str">
        <f aca="false">IF(OR(A60="",C60=""),"",C60/MAX(1,N(D60)))</f>
        <v/>
      </c>
      <c r="F60" s="49"/>
      <c r="G60" s="49"/>
      <c r="H60" s="28"/>
      <c r="I60" s="23" t="str">
        <f aca="false">IF(A60="","",IF(H60&lt;&gt;"",H60,E60))</f>
        <v/>
      </c>
      <c r="J60" s="34" t="str">
        <f aca="false">IF(N60="","",$B$6+$B$4*M60-N60)</f>
        <v/>
      </c>
      <c r="K60" s="27" t="str">
        <f aca="false">IF(A60="","",IF(F60&lt;&gt;"Cuenta de viajes","— lo pagas tú",IF(OR(B60="",E60=""),"Falta fecha o coste",IF(J60&lt;0,"🔴 Faltan "&amp;TEXT(-J60,"#,##0")&amp;" €",IF(J60&lt;$B$4,"🟡 Justo","🟢 Llega")))))</f>
        <v/>
      </c>
      <c r="L60" s="40"/>
      <c r="M60" s="82" t="str">
        <f aca="false">IF(OR(A60="",B60=""),"",MAX(0,(YEAR(B60)-YEAR($B$5))*12+MONTH(B60)-MONTH($B$5)+1))</f>
        <v/>
      </c>
      <c r="N60" s="83" t="str">
        <f aca="false">IF(OR(A60="",B60="",F60&lt;&gt;"Cuenta de viajes"),"",SUMIFS($I$16:$I$65,$F$16:$F$65,"Cuenta de viajes",$B$16:$B$65,"&lt;="&amp;B60))</f>
        <v/>
      </c>
      <c r="P60" s="83" t="str">
        <f aca="false">IF(N60="","",$B$6+H$5*M60-N60)</f>
        <v/>
      </c>
      <c r="Q60" s="83" t="str">
        <f aca="false">IF(N60="","",$B$6+I$5*M60-N60)</f>
        <v/>
      </c>
      <c r="R60" s="83" t="str">
        <f aca="false">IF(N60="","",$B$6+J$5*M60-N60)</f>
        <v/>
      </c>
      <c r="S60" s="83" t="str">
        <f aca="false">IF(N60="","",$B$6+K$5*M60-N60)</f>
        <v/>
      </c>
    </row>
    <row r="61" customFormat="false" ht="15" hidden="false" customHeight="false" outlineLevel="0" collapsed="false">
      <c r="A61" s="49"/>
      <c r="B61" s="62"/>
      <c r="C61" s="28"/>
      <c r="D61" s="31"/>
      <c r="E61" s="23" t="str">
        <f aca="false">IF(OR(A61="",C61=""),"",C61/MAX(1,N(D61)))</f>
        <v/>
      </c>
      <c r="F61" s="49"/>
      <c r="G61" s="49"/>
      <c r="H61" s="28"/>
      <c r="I61" s="23" t="str">
        <f aca="false">IF(A61="","",IF(H61&lt;&gt;"",H61,E61))</f>
        <v/>
      </c>
      <c r="J61" s="34" t="str">
        <f aca="false">IF(N61="","",$B$6+$B$4*M61-N61)</f>
        <v/>
      </c>
      <c r="K61" s="27" t="str">
        <f aca="false">IF(A61="","",IF(F61&lt;&gt;"Cuenta de viajes","— lo pagas tú",IF(OR(B61="",E61=""),"Falta fecha o coste",IF(J61&lt;0,"🔴 Faltan "&amp;TEXT(-J61,"#,##0")&amp;" €",IF(J61&lt;$B$4,"🟡 Justo","🟢 Llega")))))</f>
        <v/>
      </c>
      <c r="L61" s="40"/>
      <c r="M61" s="82" t="str">
        <f aca="false">IF(OR(A61="",B61=""),"",MAX(0,(YEAR(B61)-YEAR($B$5))*12+MONTH(B61)-MONTH($B$5)+1))</f>
        <v/>
      </c>
      <c r="N61" s="83" t="str">
        <f aca="false">IF(OR(A61="",B61="",F61&lt;&gt;"Cuenta de viajes"),"",SUMIFS($I$16:$I$65,$F$16:$F$65,"Cuenta de viajes",$B$16:$B$65,"&lt;="&amp;B61))</f>
        <v/>
      </c>
      <c r="P61" s="83" t="str">
        <f aca="false">IF(N61="","",$B$6+H$5*M61-N61)</f>
        <v/>
      </c>
      <c r="Q61" s="83" t="str">
        <f aca="false">IF(N61="","",$B$6+I$5*M61-N61)</f>
        <v/>
      </c>
      <c r="R61" s="83" t="str">
        <f aca="false">IF(N61="","",$B$6+J$5*M61-N61)</f>
        <v/>
      </c>
      <c r="S61" s="83" t="str">
        <f aca="false">IF(N61="","",$B$6+K$5*M61-N61)</f>
        <v/>
      </c>
    </row>
    <row r="62" customFormat="false" ht="15" hidden="false" customHeight="false" outlineLevel="0" collapsed="false">
      <c r="A62" s="49"/>
      <c r="B62" s="62"/>
      <c r="C62" s="28"/>
      <c r="D62" s="31"/>
      <c r="E62" s="23" t="str">
        <f aca="false">IF(OR(A62="",C62=""),"",C62/MAX(1,N(D62)))</f>
        <v/>
      </c>
      <c r="F62" s="49"/>
      <c r="G62" s="49"/>
      <c r="H62" s="28"/>
      <c r="I62" s="23" t="str">
        <f aca="false">IF(A62="","",IF(H62&lt;&gt;"",H62,E62))</f>
        <v/>
      </c>
      <c r="J62" s="34" t="str">
        <f aca="false">IF(N62="","",$B$6+$B$4*M62-N62)</f>
        <v/>
      </c>
      <c r="K62" s="27" t="str">
        <f aca="false">IF(A62="","",IF(F62&lt;&gt;"Cuenta de viajes","— lo pagas tú",IF(OR(B62="",E62=""),"Falta fecha o coste",IF(J62&lt;0,"🔴 Faltan "&amp;TEXT(-J62,"#,##0")&amp;" €",IF(J62&lt;$B$4,"🟡 Justo","🟢 Llega")))))</f>
        <v/>
      </c>
      <c r="L62" s="40"/>
      <c r="M62" s="82" t="str">
        <f aca="false">IF(OR(A62="",B62=""),"",MAX(0,(YEAR(B62)-YEAR($B$5))*12+MONTH(B62)-MONTH($B$5)+1))</f>
        <v/>
      </c>
      <c r="N62" s="83" t="str">
        <f aca="false">IF(OR(A62="",B62="",F62&lt;&gt;"Cuenta de viajes"),"",SUMIFS($I$16:$I$65,$F$16:$F$65,"Cuenta de viajes",$B$16:$B$65,"&lt;="&amp;B62))</f>
        <v/>
      </c>
      <c r="P62" s="83" t="str">
        <f aca="false">IF(N62="","",$B$6+H$5*M62-N62)</f>
        <v/>
      </c>
      <c r="Q62" s="83" t="str">
        <f aca="false">IF(N62="","",$B$6+I$5*M62-N62)</f>
        <v/>
      </c>
      <c r="R62" s="83" t="str">
        <f aca="false">IF(N62="","",$B$6+J$5*M62-N62)</f>
        <v/>
      </c>
      <c r="S62" s="83" t="str">
        <f aca="false">IF(N62="","",$B$6+K$5*M62-N62)</f>
        <v/>
      </c>
    </row>
    <row r="63" customFormat="false" ht="15" hidden="false" customHeight="false" outlineLevel="0" collapsed="false">
      <c r="A63" s="49"/>
      <c r="B63" s="62"/>
      <c r="C63" s="28"/>
      <c r="D63" s="31"/>
      <c r="E63" s="23" t="str">
        <f aca="false">IF(OR(A63="",C63=""),"",C63/MAX(1,N(D63)))</f>
        <v/>
      </c>
      <c r="F63" s="49"/>
      <c r="G63" s="49"/>
      <c r="H63" s="28"/>
      <c r="I63" s="23" t="str">
        <f aca="false">IF(A63="","",IF(H63&lt;&gt;"",H63,E63))</f>
        <v/>
      </c>
      <c r="J63" s="34" t="str">
        <f aca="false">IF(N63="","",$B$6+$B$4*M63-N63)</f>
        <v/>
      </c>
      <c r="K63" s="27" t="str">
        <f aca="false">IF(A63="","",IF(F63&lt;&gt;"Cuenta de viajes","— lo pagas tú",IF(OR(B63="",E63=""),"Falta fecha o coste",IF(J63&lt;0,"🔴 Faltan "&amp;TEXT(-J63,"#,##0")&amp;" €",IF(J63&lt;$B$4,"🟡 Justo","🟢 Llega")))))</f>
        <v/>
      </c>
      <c r="L63" s="40"/>
      <c r="M63" s="82" t="str">
        <f aca="false">IF(OR(A63="",B63=""),"",MAX(0,(YEAR(B63)-YEAR($B$5))*12+MONTH(B63)-MONTH($B$5)+1))</f>
        <v/>
      </c>
      <c r="N63" s="83" t="str">
        <f aca="false">IF(OR(A63="",B63="",F63&lt;&gt;"Cuenta de viajes"),"",SUMIFS($I$16:$I$65,$F$16:$F$65,"Cuenta de viajes",$B$16:$B$65,"&lt;="&amp;B63))</f>
        <v/>
      </c>
      <c r="P63" s="83" t="str">
        <f aca="false">IF(N63="","",$B$6+H$5*M63-N63)</f>
        <v/>
      </c>
      <c r="Q63" s="83" t="str">
        <f aca="false">IF(N63="","",$B$6+I$5*M63-N63)</f>
        <v/>
      </c>
      <c r="R63" s="83" t="str">
        <f aca="false">IF(N63="","",$B$6+J$5*M63-N63)</f>
        <v/>
      </c>
      <c r="S63" s="83" t="str">
        <f aca="false">IF(N63="","",$B$6+K$5*M63-N63)</f>
        <v/>
      </c>
    </row>
    <row r="64" customFormat="false" ht="15" hidden="false" customHeight="false" outlineLevel="0" collapsed="false">
      <c r="A64" s="49"/>
      <c r="B64" s="62"/>
      <c r="C64" s="28"/>
      <c r="D64" s="31"/>
      <c r="E64" s="23" t="str">
        <f aca="false">IF(OR(A64="",C64=""),"",C64/MAX(1,N(D64)))</f>
        <v/>
      </c>
      <c r="F64" s="49"/>
      <c r="G64" s="49"/>
      <c r="H64" s="28"/>
      <c r="I64" s="23" t="str">
        <f aca="false">IF(A64="","",IF(H64&lt;&gt;"",H64,E64))</f>
        <v/>
      </c>
      <c r="J64" s="34" t="str">
        <f aca="false">IF(N64="","",$B$6+$B$4*M64-N64)</f>
        <v/>
      </c>
      <c r="K64" s="27" t="str">
        <f aca="false">IF(A64="","",IF(F64&lt;&gt;"Cuenta de viajes","— lo pagas tú",IF(OR(B64="",E64=""),"Falta fecha o coste",IF(J64&lt;0,"🔴 Faltan "&amp;TEXT(-J64,"#,##0")&amp;" €",IF(J64&lt;$B$4,"🟡 Justo","🟢 Llega")))))</f>
        <v/>
      </c>
      <c r="L64" s="40"/>
      <c r="M64" s="82" t="str">
        <f aca="false">IF(OR(A64="",B64=""),"",MAX(0,(YEAR(B64)-YEAR($B$5))*12+MONTH(B64)-MONTH($B$5)+1))</f>
        <v/>
      </c>
      <c r="N64" s="83" t="str">
        <f aca="false">IF(OR(A64="",B64="",F64&lt;&gt;"Cuenta de viajes"),"",SUMIFS($I$16:$I$65,$F$16:$F$65,"Cuenta de viajes",$B$16:$B$65,"&lt;="&amp;B64))</f>
        <v/>
      </c>
      <c r="P64" s="83" t="str">
        <f aca="false">IF(N64="","",$B$6+H$5*M64-N64)</f>
        <v/>
      </c>
      <c r="Q64" s="83" t="str">
        <f aca="false">IF(N64="","",$B$6+I$5*M64-N64)</f>
        <v/>
      </c>
      <c r="R64" s="83" t="str">
        <f aca="false">IF(N64="","",$B$6+J$5*M64-N64)</f>
        <v/>
      </c>
      <c r="S64" s="83" t="str">
        <f aca="false">IF(N64="","",$B$6+K$5*M64-N64)</f>
        <v/>
      </c>
    </row>
    <row r="65" customFormat="false" ht="15" hidden="false" customHeight="false" outlineLevel="0" collapsed="false">
      <c r="A65" s="49"/>
      <c r="B65" s="62"/>
      <c r="C65" s="28"/>
      <c r="D65" s="31"/>
      <c r="E65" s="23" t="str">
        <f aca="false">IF(OR(A65="",C65=""),"",C65/MAX(1,N(D65)))</f>
        <v/>
      </c>
      <c r="F65" s="49"/>
      <c r="G65" s="49"/>
      <c r="H65" s="28"/>
      <c r="I65" s="23" t="str">
        <f aca="false">IF(A65="","",IF(H65&lt;&gt;"",H65,E65))</f>
        <v/>
      </c>
      <c r="J65" s="34" t="str">
        <f aca="false">IF(N65="","",$B$6+$B$4*M65-N65)</f>
        <v/>
      </c>
      <c r="K65" s="27" t="str">
        <f aca="false">IF(A65="","",IF(F65&lt;&gt;"Cuenta de viajes","— lo pagas tú",IF(OR(B65="",E65=""),"Falta fecha o coste",IF(J65&lt;0,"🔴 Faltan "&amp;TEXT(-J65,"#,##0")&amp;" €",IF(J65&lt;$B$4,"🟡 Justo","🟢 Llega")))))</f>
        <v/>
      </c>
      <c r="L65" s="40"/>
      <c r="M65" s="82" t="str">
        <f aca="false">IF(OR(A65="",B65=""),"",MAX(0,(YEAR(B65)-YEAR($B$5))*12+MONTH(B65)-MONTH($B$5)+1))</f>
        <v/>
      </c>
      <c r="N65" s="83" t="str">
        <f aca="false">IF(OR(A65="",B65="",F65&lt;&gt;"Cuenta de viajes"),"",SUMIFS($I$16:$I$65,$F$16:$F$65,"Cuenta de viajes",$B$16:$B$65,"&lt;="&amp;B65))</f>
        <v/>
      </c>
      <c r="P65" s="83" t="str">
        <f aca="false">IF(N65="","",$B$6+H$5*M65-N65)</f>
        <v/>
      </c>
      <c r="Q65" s="83" t="str">
        <f aca="false">IF(N65="","",$B$6+I$5*M65-N65)</f>
        <v/>
      </c>
      <c r="R65" s="83" t="str">
        <f aca="false">IF(N65="","",$B$6+J$5*M65-N65)</f>
        <v/>
      </c>
      <c r="S65" s="83" t="str">
        <f aca="false">IF(N65="","",$B$6+K$5*M65-N65)</f>
        <v/>
      </c>
    </row>
  </sheetData>
  <mergeCells count="9">
    <mergeCell ref="E5:G5"/>
    <mergeCell ref="E6:G6"/>
    <mergeCell ref="E7:G7"/>
    <mergeCell ref="E8:G8"/>
    <mergeCell ref="E9:G9"/>
    <mergeCell ref="E10:G10"/>
    <mergeCell ref="E11:G11"/>
    <mergeCell ref="E12:G12"/>
    <mergeCell ref="E13:G13"/>
  </mergeCells>
  <conditionalFormatting sqref="K16:K65">
    <cfRule type="expression" priority="2" aboveAverage="0" equalAverage="0" bottom="0" percent="0" rank="0" text="" dxfId="9">
      <formula>LEFT($K16,1)="🔴"</formula>
    </cfRule>
  </conditionalFormatting>
  <dataValidations count="2">
    <dataValidation allowBlank="true" errorStyle="stop" operator="between" showDropDown="false" showErrorMessage="false" showInputMessage="false" sqref="G16:G65" type="list">
      <formula1>"Idea,Planificando,Organizado,Hecho"</formula1>
      <formula2>0</formula2>
    </dataValidation>
    <dataValidation allowBlank="true" errorStyle="stop" operator="between" showDropDown="false" showErrorMessage="false" showInputMessage="false" sqref="F16:F65" type="list">
      <formula1>"Cuenta de viajes,Mi bolsillo"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18</v>
      </c>
      <c r="B1" s="2"/>
      <c r="C1" s="2"/>
    </row>
    <row r="2" customFormat="false" ht="15" hidden="false" customHeight="false" outlineLevel="0" collapsed="false">
      <c r="A2" s="3" t="s">
        <v>783</v>
      </c>
    </row>
    <row r="3" customFormat="false" ht="15" hidden="false" customHeight="false" outlineLevel="0" collapsed="false">
      <c r="A3" s="22" t="s">
        <v>784</v>
      </c>
      <c r="B3" s="22" t="s">
        <v>785</v>
      </c>
      <c r="C3" s="22" t="s">
        <v>112</v>
      </c>
    </row>
    <row r="4" customFormat="false" ht="15" hidden="false" customHeight="false" outlineLevel="0" collapsed="false">
      <c r="A4" s="5" t="s">
        <v>786</v>
      </c>
      <c r="B4" s="31" t="n">
        <v>41</v>
      </c>
      <c r="C4" s="40"/>
    </row>
    <row r="5" customFormat="false" ht="15" hidden="false" customHeight="false" outlineLevel="0" collapsed="false">
      <c r="A5" s="5" t="s">
        <v>787</v>
      </c>
      <c r="B5" s="31" t="n">
        <v>67</v>
      </c>
      <c r="C5" s="40"/>
    </row>
    <row r="6" customFormat="false" ht="15" hidden="false" customHeight="false" outlineLevel="0" collapsed="false">
      <c r="A6" s="5" t="s">
        <v>788</v>
      </c>
      <c r="B6" s="31" t="n">
        <v>2026</v>
      </c>
      <c r="C6" s="40" t="s">
        <v>789</v>
      </c>
    </row>
    <row r="7" customFormat="false" ht="15" hidden="false" customHeight="false" outlineLevel="0" collapsed="false">
      <c r="A7" s="5" t="s">
        <v>790</v>
      </c>
      <c r="B7" s="59" t="n">
        <v>0.05</v>
      </c>
      <c r="C7" s="40" t="s">
        <v>791</v>
      </c>
    </row>
    <row r="8" customFormat="false" ht="15" hidden="false" customHeight="false" outlineLevel="0" collapsed="false">
      <c r="A8" s="5" t="s">
        <v>792</v>
      </c>
      <c r="B8" s="59" t="n">
        <v>0.04</v>
      </c>
      <c r="C8" s="40" t="s">
        <v>793</v>
      </c>
    </row>
    <row r="9" customFormat="false" ht="15" hidden="false" customHeight="false" outlineLevel="0" collapsed="false">
      <c r="A9" s="5" t="s">
        <v>794</v>
      </c>
      <c r="B9" s="84" t="n">
        <f aca="true">IFERROR(SUMIFS(MOVIMIENTOS!$E$4:$E$20000,MOVIMIENTOS!$G$4:$G$20000,"Intereses",MOVIMIENTOS!$A$4:$A$20000,"&gt;="&amp;EDATE(TODAY(),-12))/SUM(INDEX('MIS DATOS'!$B$6:$B$245,COUNT('MIS DATOS'!$A$6:$A$245)),INDEX('MIS DATOS'!$C$6:$C$245,COUNT('MIS DATOS'!$A$6:$A$245)),INDEX('MIS DATOS'!$D$6:$D$245,COUNT('MIS DATOS'!$A$6:$A$245))),0)</f>
        <v>0.00597436086846606</v>
      </c>
      <c r="C9" s="40" t="s">
        <v>795</v>
      </c>
    </row>
    <row r="10" customFormat="false" ht="15" hidden="false" customHeight="false" outlineLevel="0" collapsed="false">
      <c r="A10" s="5" t="s">
        <v>796</v>
      </c>
      <c r="B10" s="59" t="n">
        <v>0.025</v>
      </c>
      <c r="C10" s="40" t="s">
        <v>797</v>
      </c>
    </row>
    <row r="11" customFormat="false" ht="15" hidden="false" customHeight="false" outlineLevel="0" collapsed="false">
      <c r="A11" s="5" t="s">
        <v>619</v>
      </c>
      <c r="B11" s="28" t="n">
        <v>0</v>
      </c>
      <c r="C11" s="40" t="s">
        <v>798</v>
      </c>
    </row>
    <row r="12" customFormat="false" ht="15" hidden="false" customHeight="false" outlineLevel="0" collapsed="false">
      <c r="A12" s="5" t="s">
        <v>799</v>
      </c>
      <c r="B12" s="28" t="n">
        <v>0</v>
      </c>
      <c r="C12" s="40" t="s">
        <v>800</v>
      </c>
    </row>
    <row r="13" customFormat="false" ht="15" hidden="false" customHeight="false" outlineLevel="0" collapsed="false">
      <c r="A13" s="5" t="s">
        <v>801</v>
      </c>
      <c r="B13" s="24" t="n">
        <f aca="false">IFERROR(AVERAGEIFS('MIS DATOS'!$I$6:$I$245,'MIS DATOS'!$N$6:$N$245,1),0)</f>
        <v>976.86</v>
      </c>
      <c r="C13" s="40" t="s">
        <v>802</v>
      </c>
    </row>
    <row r="14" customFormat="false" ht="15" hidden="false" customHeight="false" outlineLevel="0" collapsed="false">
      <c r="A14" s="5" t="s">
        <v>803</v>
      </c>
      <c r="B14" s="59" t="n">
        <v>0.02</v>
      </c>
      <c r="C14" s="40" t="s">
        <v>804</v>
      </c>
    </row>
    <row r="15" customFormat="false" ht="15" hidden="false" customHeight="false" outlineLevel="0" collapsed="false">
      <c r="A15" s="5" t="s">
        <v>805</v>
      </c>
      <c r="B15" s="24" t="n">
        <f aca="false">IFERROR(AVERAGEIFS('MIS DATOS'!$H$6:$H$245,'MIS DATOS'!$N$6:$N$245,1),0)</f>
        <v>1650.54916666667</v>
      </c>
      <c r="C15" s="40" t="s">
        <v>806</v>
      </c>
    </row>
    <row r="16" customFormat="false" ht="15" hidden="false" customHeight="false" outlineLevel="0" collapsed="false">
      <c r="A16" s="5" t="s">
        <v>807</v>
      </c>
      <c r="B16" s="59" t="n">
        <v>0.04</v>
      </c>
      <c r="C16" s="40" t="s">
        <v>808</v>
      </c>
    </row>
    <row r="17" customFormat="false" ht="15" hidden="false" customHeight="false" outlineLevel="0" collapsed="false">
      <c r="A17" s="5" t="s">
        <v>809</v>
      </c>
      <c r="B17" s="28" t="n">
        <v>1250</v>
      </c>
      <c r="C17" s="40" t="s">
        <v>810</v>
      </c>
    </row>
    <row r="18" customFormat="false" ht="15" hidden="false" customHeight="false" outlineLevel="0" collapsed="false">
      <c r="A18" s="5" t="s">
        <v>811</v>
      </c>
      <c r="B18" s="31" t="n">
        <v>6</v>
      </c>
      <c r="C18" s="40"/>
    </row>
    <row r="19" customFormat="false" ht="15" hidden="false" customHeight="false" outlineLevel="0" collapsed="false">
      <c r="A19" s="5" t="s">
        <v>677</v>
      </c>
      <c r="B19" s="59" t="n">
        <v>0.03</v>
      </c>
      <c r="C19" s="40" t="s">
        <v>812</v>
      </c>
    </row>
    <row r="20" customFormat="false" ht="15" hidden="false" customHeight="false" outlineLevel="0" collapsed="false">
      <c r="A20" s="5" t="s">
        <v>813</v>
      </c>
      <c r="B20" s="59" t="n">
        <v>0.03</v>
      </c>
      <c r="C20" s="40" t="s">
        <v>814</v>
      </c>
    </row>
    <row r="23" customFormat="false" ht="15" hidden="false" customHeight="false" outlineLevel="0" collapsed="false">
      <c r="A23" s="16" t="s">
        <v>815</v>
      </c>
      <c r="B23" s="17"/>
      <c r="C23" s="17"/>
    </row>
    <row r="24" customFormat="false" ht="15" hidden="false" customHeight="false" outlineLevel="0" collapsed="false">
      <c r="A24" s="22" t="s">
        <v>816</v>
      </c>
      <c r="B24" s="22" t="s">
        <v>817</v>
      </c>
      <c r="C24" s="22"/>
    </row>
    <row r="25" customFormat="false" ht="15" hidden="false" customHeight="false" outlineLevel="0" collapsed="false">
      <c r="A25" s="29" t="n">
        <v>0</v>
      </c>
      <c r="B25" s="49" t="s">
        <v>818</v>
      </c>
    </row>
    <row r="26" customFormat="false" ht="15" hidden="false" customHeight="false" outlineLevel="0" collapsed="false">
      <c r="A26" s="29" t="n">
        <v>0.05</v>
      </c>
      <c r="B26" s="49" t="s">
        <v>819</v>
      </c>
    </row>
    <row r="27" customFormat="false" ht="15" hidden="false" customHeight="false" outlineLevel="0" collapsed="false">
      <c r="A27" s="29" t="n">
        <v>0.15</v>
      </c>
      <c r="B27" s="49" t="s">
        <v>820</v>
      </c>
    </row>
    <row r="28" customFormat="false" ht="15" hidden="false" customHeight="false" outlineLevel="0" collapsed="false">
      <c r="A28" s="29" t="n">
        <v>0.3</v>
      </c>
      <c r="B28" s="49" t="s">
        <v>821</v>
      </c>
    </row>
    <row r="29" customFormat="false" ht="15" hidden="false" customHeight="false" outlineLevel="0" collapsed="false">
      <c r="A29" s="29" t="n">
        <v>0.5</v>
      </c>
      <c r="B29" s="49" t="s">
        <v>822</v>
      </c>
    </row>
    <row r="30" customFormat="false" ht="15" hidden="false" customHeight="false" outlineLevel="0" collapsed="false">
      <c r="A30" s="29" t="n">
        <v>0.75</v>
      </c>
      <c r="B30" s="49" t="s">
        <v>823</v>
      </c>
    </row>
    <row r="31" customFormat="false" ht="15" hidden="false" customHeight="false" outlineLevel="0" collapsed="false">
      <c r="A31" s="29" t="n">
        <v>1</v>
      </c>
      <c r="B31" s="49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14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825</v>
      </c>
    </row>
    <row r="3" customFormat="false" ht="15" hidden="false" customHeight="false" outlineLevel="0" collapsed="false">
      <c r="A3" s="22" t="s">
        <v>826</v>
      </c>
      <c r="B3" s="22" t="s">
        <v>827</v>
      </c>
      <c r="C3" s="22" t="s">
        <v>828</v>
      </c>
      <c r="D3" s="22" t="s">
        <v>109</v>
      </c>
      <c r="E3" s="22" t="s">
        <v>112</v>
      </c>
    </row>
    <row r="4" customFormat="false" ht="15" hidden="false" customHeight="false" outlineLevel="0" collapsed="false">
      <c r="A4" s="49" t="s">
        <v>829</v>
      </c>
      <c r="B4" s="49"/>
      <c r="C4" s="49" t="s">
        <v>830</v>
      </c>
      <c r="D4" s="49" t="s">
        <v>118</v>
      </c>
      <c r="E4" s="40"/>
    </row>
    <row r="5" customFormat="false" ht="15" hidden="false" customHeight="false" outlineLevel="0" collapsed="false">
      <c r="A5" s="49" t="s">
        <v>831</v>
      </c>
      <c r="B5" s="49"/>
      <c r="C5" s="49" t="s">
        <v>830</v>
      </c>
      <c r="D5" s="49" t="s">
        <v>115</v>
      </c>
      <c r="E5" s="40"/>
    </row>
    <row r="6" customFormat="false" ht="15" hidden="false" customHeight="false" outlineLevel="0" collapsed="false">
      <c r="A6" s="49" t="s">
        <v>832</v>
      </c>
      <c r="B6" s="49"/>
      <c r="C6" s="49" t="s">
        <v>830</v>
      </c>
      <c r="D6" s="49" t="s">
        <v>244</v>
      </c>
      <c r="E6" s="40"/>
    </row>
    <row r="7" customFormat="false" ht="15" hidden="false" customHeight="false" outlineLevel="0" collapsed="false">
      <c r="A7" s="49" t="s">
        <v>833</v>
      </c>
      <c r="B7" s="49"/>
      <c r="C7" s="49"/>
      <c r="D7" s="49" t="s">
        <v>181</v>
      </c>
      <c r="E7" s="40" t="s">
        <v>834</v>
      </c>
    </row>
    <row r="8" customFormat="false" ht="15" hidden="false" customHeight="false" outlineLevel="0" collapsed="false">
      <c r="A8" s="49" t="s">
        <v>835</v>
      </c>
      <c r="B8" s="49"/>
      <c r="C8" s="49"/>
      <c r="D8" s="49" t="s">
        <v>171</v>
      </c>
      <c r="E8" s="40" t="s">
        <v>836</v>
      </c>
    </row>
    <row r="9" customFormat="false" ht="15" hidden="false" customHeight="false" outlineLevel="0" collapsed="false">
      <c r="A9" s="49" t="s">
        <v>837</v>
      </c>
      <c r="B9" s="49"/>
      <c r="C9" s="49" t="s">
        <v>838</v>
      </c>
      <c r="D9" s="49" t="s">
        <v>178</v>
      </c>
      <c r="E9" s="40"/>
    </row>
    <row r="10" customFormat="false" ht="15" hidden="false" customHeight="false" outlineLevel="0" collapsed="false">
      <c r="A10" s="49" t="s">
        <v>839</v>
      </c>
      <c r="B10" s="49"/>
      <c r="C10" s="49" t="s">
        <v>838</v>
      </c>
      <c r="D10" s="49" t="s">
        <v>189</v>
      </c>
      <c r="E10" s="40"/>
    </row>
    <row r="11" customFormat="false" ht="15" hidden="false" customHeight="false" outlineLevel="0" collapsed="false">
      <c r="A11" s="49" t="s">
        <v>840</v>
      </c>
      <c r="B11" s="49"/>
      <c r="C11" s="49"/>
      <c r="D11" s="49" t="s">
        <v>157</v>
      </c>
      <c r="E11" s="40"/>
    </row>
    <row r="12" customFormat="false" ht="15" hidden="false" customHeight="false" outlineLevel="0" collapsed="false">
      <c r="A12" s="49" t="s">
        <v>841</v>
      </c>
      <c r="B12" s="49"/>
      <c r="C12" s="49"/>
      <c r="D12" s="49" t="s">
        <v>210</v>
      </c>
      <c r="E12" s="40" t="s">
        <v>842</v>
      </c>
    </row>
    <row r="13" customFormat="false" ht="15" hidden="false" customHeight="false" outlineLevel="0" collapsed="false">
      <c r="A13" s="49" t="s">
        <v>843</v>
      </c>
      <c r="B13" s="49"/>
      <c r="C13" s="49"/>
      <c r="D13" s="49" t="s">
        <v>168</v>
      </c>
      <c r="E13" s="40"/>
    </row>
    <row r="14" customFormat="false" ht="15" hidden="false" customHeight="false" outlineLevel="0" collapsed="false">
      <c r="A14" s="49" t="s">
        <v>844</v>
      </c>
      <c r="B14" s="49"/>
      <c r="C14" s="49"/>
      <c r="D14" s="49" t="s">
        <v>391</v>
      </c>
      <c r="E14" s="40" t="s">
        <v>845</v>
      </c>
    </row>
    <row r="15" customFormat="false" ht="15" hidden="false" customHeight="false" outlineLevel="0" collapsed="false">
      <c r="A15" s="49" t="s">
        <v>846</v>
      </c>
      <c r="B15" s="49"/>
      <c r="C15" s="49"/>
      <c r="D15" s="49" t="s">
        <v>165</v>
      </c>
      <c r="E15" s="40"/>
    </row>
    <row r="16" customFormat="false" ht="15" hidden="false" customHeight="false" outlineLevel="0" collapsed="false">
      <c r="A16" s="49" t="s">
        <v>847</v>
      </c>
      <c r="B16" s="49"/>
      <c r="C16" s="49"/>
      <c r="D16" s="49" t="s">
        <v>122</v>
      </c>
      <c r="E16" s="40"/>
    </row>
    <row r="17" customFormat="false" ht="15" hidden="false" customHeight="false" outlineLevel="0" collapsed="false">
      <c r="A17" s="49" t="s">
        <v>848</v>
      </c>
      <c r="B17" s="49"/>
      <c r="C17" s="49"/>
      <c r="D17" s="49" t="s">
        <v>122</v>
      </c>
      <c r="E17" s="40"/>
    </row>
    <row r="18" customFormat="false" ht="15" hidden="false" customHeight="false" outlineLevel="0" collapsed="false">
      <c r="A18" s="49" t="s">
        <v>849</v>
      </c>
      <c r="B18" s="49"/>
      <c r="C18" s="49"/>
      <c r="D18" s="49" t="s">
        <v>125</v>
      </c>
      <c r="E18" s="40"/>
    </row>
    <row r="19" customFormat="false" ht="15" hidden="false" customHeight="false" outlineLevel="0" collapsed="false">
      <c r="A19" s="49" t="s">
        <v>850</v>
      </c>
      <c r="B19" s="49"/>
      <c r="C19" s="49"/>
      <c r="D19" s="49" t="s">
        <v>125</v>
      </c>
      <c r="E19" s="40"/>
    </row>
    <row r="20" customFormat="false" ht="15" hidden="false" customHeight="false" outlineLevel="0" collapsed="false">
      <c r="A20" s="49" t="s">
        <v>851</v>
      </c>
      <c r="B20" s="49"/>
      <c r="C20" s="49"/>
      <c r="D20" s="49" t="s">
        <v>130</v>
      </c>
      <c r="E20" s="40"/>
    </row>
    <row r="21" customFormat="false" ht="15" hidden="false" customHeight="false" outlineLevel="0" collapsed="false">
      <c r="A21" s="49" t="s">
        <v>852</v>
      </c>
      <c r="B21" s="49"/>
      <c r="C21" s="49"/>
      <c r="D21" s="49" t="s">
        <v>130</v>
      </c>
      <c r="E21" s="40"/>
    </row>
    <row r="22" customFormat="false" ht="15" hidden="false" customHeight="false" outlineLevel="0" collapsed="false">
      <c r="A22" s="49" t="s">
        <v>853</v>
      </c>
      <c r="B22" s="49"/>
      <c r="C22" s="49"/>
      <c r="D22" s="49" t="s">
        <v>160</v>
      </c>
      <c r="E22" s="40"/>
    </row>
    <row r="23" customFormat="false" ht="15" hidden="false" customHeight="false" outlineLevel="0" collapsed="false">
      <c r="A23" s="49" t="s">
        <v>854</v>
      </c>
      <c r="B23" s="49"/>
      <c r="C23" s="49"/>
      <c r="D23" s="49" t="s">
        <v>154</v>
      </c>
      <c r="E23" s="40"/>
    </row>
    <row r="24" customFormat="false" ht="15" hidden="false" customHeight="false" outlineLevel="0" collapsed="false">
      <c r="A24" s="49" t="s">
        <v>135</v>
      </c>
      <c r="B24" s="49"/>
      <c r="C24" s="49"/>
      <c r="D24" s="49" t="s">
        <v>136</v>
      </c>
      <c r="E24" s="40"/>
    </row>
    <row r="25" customFormat="false" ht="15" hidden="false" customHeight="false" outlineLevel="0" collapsed="false">
      <c r="A25" s="49" t="s">
        <v>353</v>
      </c>
      <c r="B25" s="49"/>
      <c r="C25" s="49"/>
      <c r="D25" s="49" t="s">
        <v>354</v>
      </c>
      <c r="E25" s="40"/>
    </row>
    <row r="26" customFormat="false" ht="15" hidden="false" customHeight="false" outlineLevel="0" collapsed="false">
      <c r="A26" s="49" t="s">
        <v>855</v>
      </c>
      <c r="B26" s="49"/>
      <c r="C26" s="49"/>
      <c r="D26" s="49" t="s">
        <v>141</v>
      </c>
      <c r="E26" s="40"/>
    </row>
    <row r="27" customFormat="false" ht="15" hidden="false" customHeight="false" outlineLevel="0" collapsed="false">
      <c r="A27" s="49" t="s">
        <v>856</v>
      </c>
      <c r="B27" s="49"/>
      <c r="C27" s="49"/>
      <c r="D27" s="49" t="s">
        <v>174</v>
      </c>
      <c r="E27" s="40"/>
    </row>
    <row r="28" customFormat="false" ht="15" hidden="false" customHeight="false" outlineLevel="0" collapsed="false">
      <c r="A28" s="49" t="s">
        <v>857</v>
      </c>
      <c r="B28" s="49"/>
      <c r="C28" s="49"/>
      <c r="D28" s="49" t="s">
        <v>174</v>
      </c>
      <c r="E28" s="40"/>
    </row>
    <row r="30" customFormat="false" ht="15" hidden="false" customHeight="false" outlineLevel="0" collapsed="false">
      <c r="A30" s="7" t="s">
        <v>858</v>
      </c>
    </row>
  </sheetData>
  <dataValidations count="1">
    <dataValidation allowBlank="true" errorStyle="stop" operator="between" showDropDown="false" showErrorMessage="false" showInputMessage="false" sqref="D4:D300" type="list">
      <formula1>CATEGORÍAS!$A$4:$A$100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30" hidden="false" customHeight="true" outlineLevel="0" collapsed="false">
      <c r="A1" s="1" t="s">
        <v>16</v>
      </c>
      <c r="B1" s="2"/>
      <c r="C1" s="2"/>
    </row>
    <row r="2" customFormat="false" ht="15" hidden="false" customHeight="false" outlineLevel="0" collapsed="false">
      <c r="A2" s="3" t="s">
        <v>859</v>
      </c>
    </row>
    <row r="3" customFormat="false" ht="15" hidden="false" customHeight="false" outlineLevel="0" collapsed="false">
      <c r="A3" s="22" t="s">
        <v>109</v>
      </c>
      <c r="B3" s="22" t="s">
        <v>110</v>
      </c>
      <c r="C3" s="22" t="s">
        <v>111</v>
      </c>
    </row>
    <row r="4" customFormat="false" ht="15" hidden="false" customHeight="false" outlineLevel="0" collapsed="false">
      <c r="A4" s="49" t="s">
        <v>118</v>
      </c>
      <c r="B4" s="49" t="s">
        <v>860</v>
      </c>
      <c r="C4" s="49" t="s">
        <v>861</v>
      </c>
    </row>
    <row r="5" customFormat="false" ht="15" hidden="false" customHeight="false" outlineLevel="0" collapsed="false">
      <c r="A5" s="49" t="s">
        <v>115</v>
      </c>
      <c r="B5" s="49" t="s">
        <v>860</v>
      </c>
      <c r="C5" s="49" t="s">
        <v>78</v>
      </c>
    </row>
    <row r="6" customFormat="false" ht="15" hidden="false" customHeight="false" outlineLevel="0" collapsed="false">
      <c r="A6" s="49" t="s">
        <v>244</v>
      </c>
      <c r="B6" s="49" t="s">
        <v>860</v>
      </c>
      <c r="C6" s="49" t="s">
        <v>862</v>
      </c>
    </row>
    <row r="7" customFormat="false" ht="15" hidden="false" customHeight="false" outlineLevel="0" collapsed="false">
      <c r="A7" s="49" t="s">
        <v>863</v>
      </c>
      <c r="B7" s="49" t="s">
        <v>860</v>
      </c>
      <c r="C7" s="49" t="s">
        <v>862</v>
      </c>
    </row>
    <row r="8" customFormat="false" ht="15" hidden="false" customHeight="false" outlineLevel="0" collapsed="false">
      <c r="A8" s="49" t="s">
        <v>862</v>
      </c>
      <c r="B8" s="49" t="s">
        <v>860</v>
      </c>
      <c r="C8" s="49" t="s">
        <v>862</v>
      </c>
    </row>
    <row r="9" customFormat="false" ht="15" hidden="false" customHeight="false" outlineLevel="0" collapsed="false">
      <c r="A9" s="49" t="s">
        <v>864</v>
      </c>
      <c r="B9" s="49" t="s">
        <v>865</v>
      </c>
      <c r="C9" s="49" t="s">
        <v>866</v>
      </c>
    </row>
    <row r="10" customFormat="false" ht="15" hidden="false" customHeight="false" outlineLevel="0" collapsed="false">
      <c r="A10" s="49" t="s">
        <v>181</v>
      </c>
      <c r="B10" s="49" t="s">
        <v>865</v>
      </c>
      <c r="C10" s="49" t="s">
        <v>866</v>
      </c>
    </row>
    <row r="11" customFormat="false" ht="15" hidden="false" customHeight="false" outlineLevel="0" collapsed="false">
      <c r="A11" s="49" t="s">
        <v>171</v>
      </c>
      <c r="B11" s="49" t="s">
        <v>865</v>
      </c>
      <c r="C11" s="49" t="s">
        <v>866</v>
      </c>
    </row>
    <row r="12" customFormat="false" ht="15" hidden="false" customHeight="false" outlineLevel="0" collapsed="false">
      <c r="A12" s="49" t="s">
        <v>189</v>
      </c>
      <c r="B12" s="49" t="s">
        <v>867</v>
      </c>
      <c r="C12" s="49" t="s">
        <v>868</v>
      </c>
    </row>
    <row r="13" customFormat="false" ht="15" hidden="false" customHeight="false" outlineLevel="0" collapsed="false">
      <c r="A13" s="49" t="s">
        <v>608</v>
      </c>
      <c r="B13" s="49" t="s">
        <v>867</v>
      </c>
      <c r="C13" s="49" t="s">
        <v>868</v>
      </c>
    </row>
    <row r="14" customFormat="false" ht="15" hidden="false" customHeight="false" outlineLevel="0" collapsed="false">
      <c r="A14" s="49" t="s">
        <v>157</v>
      </c>
      <c r="B14" s="49" t="s">
        <v>867</v>
      </c>
      <c r="C14" s="49" t="s">
        <v>868</v>
      </c>
    </row>
    <row r="15" customFormat="false" ht="15" hidden="false" customHeight="false" outlineLevel="0" collapsed="false">
      <c r="A15" s="49" t="s">
        <v>210</v>
      </c>
      <c r="B15" s="49" t="s">
        <v>867</v>
      </c>
      <c r="C15" s="49" t="s">
        <v>868</v>
      </c>
    </row>
    <row r="16" customFormat="false" ht="15" hidden="false" customHeight="false" outlineLevel="0" collapsed="false">
      <c r="A16" s="49" t="s">
        <v>168</v>
      </c>
      <c r="B16" s="49" t="s">
        <v>867</v>
      </c>
      <c r="C16" s="49" t="s">
        <v>868</v>
      </c>
    </row>
    <row r="17" customFormat="false" ht="15" hidden="false" customHeight="false" outlineLevel="0" collapsed="false">
      <c r="A17" s="49" t="s">
        <v>609</v>
      </c>
      <c r="B17" s="49" t="s">
        <v>867</v>
      </c>
      <c r="C17" s="49" t="s">
        <v>868</v>
      </c>
    </row>
    <row r="18" customFormat="false" ht="15" hidden="false" customHeight="false" outlineLevel="0" collapsed="false">
      <c r="A18" s="49" t="s">
        <v>391</v>
      </c>
      <c r="B18" s="49" t="s">
        <v>867</v>
      </c>
      <c r="C18" s="49" t="s">
        <v>868</v>
      </c>
    </row>
    <row r="19" customFormat="false" ht="15" hidden="false" customHeight="false" outlineLevel="0" collapsed="false">
      <c r="A19" s="49" t="s">
        <v>610</v>
      </c>
      <c r="B19" s="49" t="s">
        <v>867</v>
      </c>
      <c r="C19" s="49" t="s">
        <v>868</v>
      </c>
    </row>
    <row r="20" customFormat="false" ht="15" hidden="false" customHeight="false" outlineLevel="0" collapsed="false">
      <c r="A20" s="49" t="s">
        <v>122</v>
      </c>
      <c r="B20" s="49" t="s">
        <v>867</v>
      </c>
      <c r="C20" s="49" t="s">
        <v>595</v>
      </c>
    </row>
    <row r="21" customFormat="false" ht="15" hidden="false" customHeight="false" outlineLevel="0" collapsed="false">
      <c r="A21" s="49" t="s">
        <v>125</v>
      </c>
      <c r="B21" s="49" t="s">
        <v>867</v>
      </c>
      <c r="C21" s="49" t="s">
        <v>595</v>
      </c>
    </row>
    <row r="22" customFormat="false" ht="15" hidden="false" customHeight="false" outlineLevel="0" collapsed="false">
      <c r="A22" s="49" t="s">
        <v>201</v>
      </c>
      <c r="B22" s="49" t="s">
        <v>867</v>
      </c>
      <c r="C22" s="49" t="s">
        <v>595</v>
      </c>
    </row>
    <row r="23" customFormat="false" ht="15" hidden="false" customHeight="false" outlineLevel="0" collapsed="false">
      <c r="A23" s="49" t="s">
        <v>130</v>
      </c>
      <c r="B23" s="49" t="s">
        <v>867</v>
      </c>
      <c r="C23" s="49" t="s">
        <v>130</v>
      </c>
    </row>
    <row r="24" customFormat="false" ht="15" hidden="false" customHeight="false" outlineLevel="0" collapsed="false">
      <c r="A24" s="49" t="s">
        <v>160</v>
      </c>
      <c r="B24" s="49" t="s">
        <v>867</v>
      </c>
      <c r="C24" s="49" t="s">
        <v>869</v>
      </c>
    </row>
    <row r="25" customFormat="false" ht="15" hidden="false" customHeight="false" outlineLevel="0" collapsed="false">
      <c r="A25" s="49" t="s">
        <v>870</v>
      </c>
      <c r="B25" s="49" t="s">
        <v>867</v>
      </c>
      <c r="C25" s="49" t="s">
        <v>870</v>
      </c>
    </row>
    <row r="26" customFormat="false" ht="15" hidden="false" customHeight="false" outlineLevel="0" collapsed="false">
      <c r="A26" s="49" t="s">
        <v>154</v>
      </c>
      <c r="B26" s="49" t="s">
        <v>867</v>
      </c>
      <c r="C26" s="49" t="s">
        <v>871</v>
      </c>
    </row>
    <row r="27" customFormat="false" ht="15" hidden="false" customHeight="false" outlineLevel="0" collapsed="false">
      <c r="A27" s="49" t="s">
        <v>165</v>
      </c>
      <c r="B27" s="49" t="s">
        <v>867</v>
      </c>
      <c r="C27" s="49" t="s">
        <v>871</v>
      </c>
    </row>
    <row r="28" customFormat="false" ht="15" hidden="false" customHeight="false" outlineLevel="0" collapsed="false">
      <c r="A28" s="49" t="s">
        <v>354</v>
      </c>
      <c r="B28" s="49" t="s">
        <v>867</v>
      </c>
      <c r="C28" s="49" t="s">
        <v>871</v>
      </c>
    </row>
    <row r="29" customFormat="false" ht="15" hidden="false" customHeight="false" outlineLevel="0" collapsed="false">
      <c r="A29" s="49" t="s">
        <v>141</v>
      </c>
      <c r="B29" s="49" t="s">
        <v>867</v>
      </c>
      <c r="C29" s="49" t="s">
        <v>871</v>
      </c>
    </row>
    <row r="30" customFormat="false" ht="15" hidden="false" customHeight="false" outlineLevel="0" collapsed="false">
      <c r="A30" s="49" t="s">
        <v>136</v>
      </c>
      <c r="B30" s="49" t="s">
        <v>867</v>
      </c>
      <c r="C30" s="49" t="s">
        <v>871</v>
      </c>
    </row>
    <row r="31" customFormat="false" ht="15" hidden="false" customHeight="false" outlineLevel="0" collapsed="false">
      <c r="A31" s="49" t="s">
        <v>872</v>
      </c>
      <c r="B31" s="49" t="s">
        <v>867</v>
      </c>
      <c r="C31" s="49" t="s">
        <v>871</v>
      </c>
    </row>
    <row r="32" customFormat="false" ht="15" hidden="false" customHeight="false" outlineLevel="0" collapsed="false">
      <c r="A32" s="49" t="s">
        <v>873</v>
      </c>
      <c r="B32" s="49" t="s">
        <v>867</v>
      </c>
      <c r="C32" s="49" t="s">
        <v>871</v>
      </c>
    </row>
    <row r="33" customFormat="false" ht="15" hidden="false" customHeight="false" outlineLevel="0" collapsed="false">
      <c r="A33" s="49" t="s">
        <v>174</v>
      </c>
      <c r="B33" s="49" t="s">
        <v>867</v>
      </c>
      <c r="C33" s="49" t="s">
        <v>874</v>
      </c>
    </row>
    <row r="34" customFormat="false" ht="15" hidden="false" customHeight="false" outlineLevel="0" collapsed="false">
      <c r="A34" s="49" t="s">
        <v>875</v>
      </c>
      <c r="B34" s="49" t="s">
        <v>867</v>
      </c>
      <c r="C34" s="49" t="s">
        <v>875</v>
      </c>
    </row>
    <row r="35" customFormat="false" ht="15" hidden="false" customHeight="false" outlineLevel="0" collapsed="false">
      <c r="A35" s="49" t="s">
        <v>178</v>
      </c>
      <c r="B35" s="49" t="s">
        <v>867</v>
      </c>
      <c r="C35" s="49" t="s">
        <v>875</v>
      </c>
    </row>
    <row r="36" customFormat="false" ht="15" hidden="false" customHeight="false" outlineLevel="0" collapsed="false">
      <c r="A36" s="49" t="s">
        <v>876</v>
      </c>
      <c r="B36" s="49" t="s">
        <v>867</v>
      </c>
      <c r="C36" s="49" t="s">
        <v>876</v>
      </c>
    </row>
    <row r="37" customFormat="false" ht="15" hidden="false" customHeight="false" outlineLevel="0" collapsed="false">
      <c r="A37" s="49" t="s">
        <v>877</v>
      </c>
      <c r="B37" s="49" t="s">
        <v>867</v>
      </c>
      <c r="C37" s="49" t="s">
        <v>878</v>
      </c>
    </row>
    <row r="38" customFormat="false" ht="15" hidden="false" customHeight="false" outlineLevel="0" collapsed="false">
      <c r="A38" s="49" t="s">
        <v>133</v>
      </c>
      <c r="B38" s="49" t="s">
        <v>101</v>
      </c>
      <c r="C38" s="49"/>
    </row>
  </sheetData>
  <dataValidations count="1">
    <dataValidation allowBlank="false" errorStyle="stop" operator="between" showDropDown="false" showErrorMessage="false" showInputMessage="false" sqref="B4:B100" type="list">
      <formula1>"Ingreso,Gasto,Traspaso,Por revisar"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4" topLeftCell="D15" activePane="bottomRight" state="frozen"/>
      <selection pane="topLeft" activeCell="A1" activeCellId="0" sqref="A1"/>
      <selection pane="topRight" activeCell="D1" activeCellId="0" sqref="D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6" min="4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5"/>
    <col collapsed="false" customWidth="true" hidden="false" outlineLevel="0" max="21" min="20" style="0" width="14"/>
    <col collapsed="false" customWidth="true" hidden="false" outlineLevel="0" max="22" min="22" style="0" width="13"/>
  </cols>
  <sheetData>
    <row r="1" customFormat="false" ht="30" hidden="false" customHeight="true" outlineLevel="0" collapsed="false">
      <c r="A1" s="1" t="s">
        <v>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880</v>
      </c>
    </row>
    <row r="3" customFormat="false" ht="15" hidden="false" customHeight="false" outlineLevel="0" collapsed="false">
      <c r="A3" s="16" t="s">
        <v>881</v>
      </c>
      <c r="B3" s="17"/>
      <c r="C3" s="17"/>
    </row>
    <row r="4" customFormat="false" ht="15" hidden="false" customHeight="false" outlineLevel="0" collapsed="false">
      <c r="A4" s="5" t="s">
        <v>882</v>
      </c>
      <c r="B4" s="85" t="n">
        <f aca="false">INDEX('MIS DATOS'!$A$6:$A$245,COUNT('MIS DATOS'!$A$6:$A$245))</f>
        <v>46266</v>
      </c>
    </row>
    <row r="5" customFormat="false" ht="15" hidden="false" customHeight="false" outlineLevel="0" collapsed="false">
      <c r="A5" s="5" t="s">
        <v>883</v>
      </c>
      <c r="B5" s="24" t="n">
        <f aca="false">INDEX('MIS DATOS'!$B$6:$B$245,COUNT('MIS DATOS'!$A$6:$A$245))+INDEX('MIS DATOS'!$C$6:$C$245,COUNT('MIS DATOS'!$A$6:$A$245))+INDEX('MIS DATOS'!$D$6:$D$245,COUNT('MIS DATOS'!$A$6:$A$245))</f>
        <v>67957.06</v>
      </c>
    </row>
    <row r="6" customFormat="false" ht="15" hidden="false" customHeight="false" outlineLevel="0" collapsed="false">
      <c r="A6" s="5" t="s">
        <v>94</v>
      </c>
      <c r="B6" s="24" t="n">
        <f aca="false">INDEX('MIS DATOS'!$E$6:$E$245,COUNT('MIS DATOS'!$A$6:$A$245))</f>
        <v>0</v>
      </c>
    </row>
    <row r="7" customFormat="false" ht="15" hidden="false" customHeight="false" outlineLevel="0" collapsed="false">
      <c r="A7" s="5" t="s">
        <v>95</v>
      </c>
      <c r="B7" s="24" t="n">
        <f aca="false">INDEX('MIS DATOS'!$F$6:$F$245,COUNT('MIS DATOS'!$A$6:$A$245))</f>
        <v>0</v>
      </c>
    </row>
    <row r="8" customFormat="false" ht="15" hidden="false" customHeight="false" outlineLevel="0" collapsed="false">
      <c r="A8" s="5" t="s">
        <v>100</v>
      </c>
      <c r="B8" s="24" t="n">
        <f aca="false">B5+B6+B7</f>
        <v>67957.06</v>
      </c>
    </row>
    <row r="9" customFormat="false" ht="15" hidden="false" customHeight="false" outlineLevel="0" collapsed="false">
      <c r="A9" s="5" t="s">
        <v>884</v>
      </c>
      <c r="B9" s="24" t="n">
        <f aca="false">INMUEBLES!$D$10</f>
        <v>0</v>
      </c>
    </row>
    <row r="10" customFormat="false" ht="15" hidden="false" customHeight="false" outlineLevel="0" collapsed="false">
      <c r="A10" s="5" t="s">
        <v>885</v>
      </c>
      <c r="B10" s="24" t="n">
        <f aca="false">B8+B9</f>
        <v>67957.06</v>
      </c>
    </row>
    <row r="11" customFormat="false" ht="15" hidden="false" customHeight="false" outlineLevel="0" collapsed="false">
      <c r="A11" s="5" t="s">
        <v>886</v>
      </c>
      <c r="B11" s="32" t="n">
        <f aca="false">PARÁMETROS!$B$5-PARÁMETROS!$B$4</f>
        <v>26</v>
      </c>
    </row>
    <row r="13" customFormat="false" ht="15" hidden="false" customHeight="false" outlineLevel="0" collapsed="false">
      <c r="A13" s="16" t="s">
        <v>887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customFormat="false" ht="42" hidden="false" customHeight="true" outlineLevel="0" collapsed="false">
      <c r="A14" s="22" t="s">
        <v>888</v>
      </c>
      <c r="B14" s="22" t="s">
        <v>63</v>
      </c>
      <c r="C14" s="22" t="s">
        <v>62</v>
      </c>
      <c r="D14" s="22" t="s">
        <v>876</v>
      </c>
      <c r="E14" s="22" t="s">
        <v>94</v>
      </c>
      <c r="F14" s="22" t="s">
        <v>889</v>
      </c>
      <c r="G14" s="22" t="s">
        <v>890</v>
      </c>
      <c r="H14" s="22" t="s">
        <v>891</v>
      </c>
      <c r="I14" s="22" t="s">
        <v>892</v>
      </c>
      <c r="J14" s="22" t="s">
        <v>893</v>
      </c>
      <c r="K14" s="22" t="s">
        <v>894</v>
      </c>
      <c r="L14" s="22" t="s">
        <v>724</v>
      </c>
      <c r="M14" s="22" t="s">
        <v>895</v>
      </c>
      <c r="N14" s="22" t="s">
        <v>896</v>
      </c>
      <c r="O14" s="22" t="s">
        <v>897</v>
      </c>
      <c r="P14" s="22" t="s">
        <v>898</v>
      </c>
      <c r="Q14" s="22" t="s">
        <v>899</v>
      </c>
      <c r="R14" s="22" t="s">
        <v>900</v>
      </c>
      <c r="S14" s="22" t="s">
        <v>901</v>
      </c>
      <c r="T14" s="22" t="s">
        <v>902</v>
      </c>
      <c r="U14" s="22" t="s">
        <v>903</v>
      </c>
      <c r="V14" s="22" t="s">
        <v>904</v>
      </c>
    </row>
    <row r="15" customFormat="false" ht="15" hidden="false" customHeight="false" outlineLevel="0" collapsed="false">
      <c r="A15" s="86" t="n">
        <v>0</v>
      </c>
      <c r="B15" s="26" t="n">
        <f aca="false">IF($A15&gt;$B$11,"",PARÁMETROS!$B$4+A15)</f>
        <v>41</v>
      </c>
      <c r="C15" s="26" t="n">
        <f aca="false">IF($A15&gt;$B$11,"",PARÁMETROS!$B$6+A15)</f>
        <v>2026</v>
      </c>
      <c r="D15" s="23" t="n">
        <f aca="false">$B$5</f>
        <v>67957.06</v>
      </c>
      <c r="E15" s="23" t="n">
        <f aca="false">$B$6</f>
        <v>0</v>
      </c>
      <c r="F15" s="23" t="n">
        <f aca="false">$B$7</f>
        <v>0</v>
      </c>
      <c r="G15" s="23" t="n">
        <f aca="false">IF($A15&gt;$B$11,"",D15+E15+F15)</f>
        <v>67957.06</v>
      </c>
      <c r="H15" s="23" t="n">
        <f aca="false">IF($A15&gt;$B$11,"",G15/(1+PARÁMETROS!$B$10)^A15)</f>
        <v>67957.06</v>
      </c>
      <c r="I15" s="23" t="n">
        <f aca="false">IF($A15&gt;$B$11,"",$G$15)</f>
        <v>67957.06</v>
      </c>
      <c r="J15" s="23" t="n">
        <f aca="false">0</f>
        <v>0</v>
      </c>
      <c r="K15" s="23" t="n">
        <f aca="false">IF($A15&gt;$B$11,"",G15-I15-J15)</f>
        <v>0</v>
      </c>
      <c r="L15" s="23" t="n">
        <f aca="false">IF($A15&gt;$B$11,"",PARÁMETROS!$B$15*12*(1+PARÁMETROS!$B$10)^A15)</f>
        <v>19806.59</v>
      </c>
      <c r="M15" s="25" t="n">
        <f aca="false">IF($A15&gt;$B$11,"",G15*PARÁMETROS!$B$16/L15)</f>
        <v>0.137241312108748</v>
      </c>
      <c r="N15" s="23" t="n">
        <f aca="false">E15+DECISIONES!$B$5-IF(DECISIONES!$B$14=0,DECISIONES!$B$15,0)</f>
        <v>-55000</v>
      </c>
      <c r="O15" s="23" t="n">
        <f aca="false">IF($A15&gt;$B$11,"",V15+N15+F15)</f>
        <v>12957.06</v>
      </c>
      <c r="P15" s="23" t="n">
        <f aca="false">IF($A15&gt;$B$11,"",(PARÁMETROS!$B$15-DECISIONES!$B$7)*12*(1+PARÁMETROS!$B$10)^A15-IF(A15&gt;DECISIONES!$B$14,DECISIONES!$B$19*12*(1+PARÁMETROS!$B$10)^A15,0))</f>
        <v>19806.59</v>
      </c>
      <c r="Q15" s="25" t="n">
        <f aca="false">IF($A15&gt;$B$11,"",O15*PARÁMETROS!$B$16/P15)</f>
        <v>0.0261671696137498</v>
      </c>
      <c r="R15" s="23" t="n">
        <f aca="false">IF($A15&gt;$B$11,"",SUMPRODUCT(INMUEBLES!$D$5:$D$9,(1+INMUEBLES!$G$5:$G$9)^A15))</f>
        <v>0</v>
      </c>
      <c r="S15" s="23" t="n">
        <f aca="false">IF($A15&gt;$B$11,"",R15-VIVIENDA!$B$5*(1+PARÁMETROS!$B$19)^A15*VIVIENDA!$B$6+IF(AND(DECISIONES!$B$10="Sí",A15&gt;=DECISIONES!$B$14),VIVIENDA!$B$5*(1+PARÁMETROS!$B$19)^A15-IF(A15-DECISIONES!$B$14&gt;=DECISIONES!$B$18,0,MAX(0,FV(VIVIENDA!$B$11/12,(A15-DECISIONES!$B$14)*12,DECISIONES!$B$17,-DECISIONES!$B$16))),VIVIENDA!$B$5*(1+PARÁMETROS!$B$19)^A15*VIVIENDA!$B$6))</f>
        <v>38900</v>
      </c>
      <c r="T15" s="23" t="n">
        <f aca="false">IF($A15&gt;$B$11,"",G15+R15)</f>
        <v>67957.06</v>
      </c>
      <c r="U15" s="23" t="n">
        <f aca="false">IF($A15&gt;$B$11,"",O15+S15)</f>
        <v>51857.06</v>
      </c>
      <c r="V15" s="23" t="n">
        <f aca="false">IF($A15&gt;$B$11,"",D15-DECISIONES!$B$5*(1+PARÁMETROS!$B$9)^A15)</f>
        <v>67957.06</v>
      </c>
    </row>
    <row r="16" customFormat="false" ht="15" hidden="false" customHeight="false" outlineLevel="0" collapsed="false">
      <c r="A16" s="86" t="n">
        <v>1</v>
      </c>
      <c r="B16" s="26" t="n">
        <f aca="false">IF($A16&gt;$B$11,"",PARÁMETROS!$B$4+A16)</f>
        <v>42</v>
      </c>
      <c r="C16" s="26" t="n">
        <f aca="false">IF($A16&gt;$B$11,"",PARÁMETROS!$B$6+A16)</f>
        <v>2027</v>
      </c>
      <c r="D16" s="23" t="n">
        <f aca="false">IF($A16&gt;$B$11,"",D15*(1+PARÁMETROS!$B$9)+PARÁMETROS!$B$13*12*(1+PARÁMETROS!$B$14)^(A16-1))</f>
        <v>80085.38</v>
      </c>
      <c r="E16" s="23" t="n">
        <f aca="false">IF($A16&gt;$B$11,"",E15*(1+PARÁMETROS!$B$7)+PARÁMETROS!$B$11*12*(1+PARÁMETROS!$B$14)^(A16-1))</f>
        <v>0</v>
      </c>
      <c r="F16" s="23" t="n">
        <f aca="false">IF($A16&gt;$B$11,"",F15*(1+PARÁMETROS!$B$8)+PARÁMETROS!$B$12*12*(1+PARÁMETROS!$B$14)^(A16-1))</f>
        <v>0</v>
      </c>
      <c r="G16" s="23" t="n">
        <f aca="false">IF($A16&gt;$B$11,"",D16+E16+F16)</f>
        <v>80085.38</v>
      </c>
      <c r="H16" s="23" t="n">
        <f aca="false">IF($A16&gt;$B$11,"",G16/(1+PARÁMETROS!$B$10)^A16)</f>
        <v>78132.0780487805</v>
      </c>
      <c r="I16" s="23" t="n">
        <f aca="false">IF($A16&gt;$B$11,"",$G$15)</f>
        <v>67957.06</v>
      </c>
      <c r="J16" s="23" t="n">
        <f aca="false">IF($A16&gt;$B$11,"",J15+(PARÁMETROS!$B$13+PARÁMETROS!$B$11+PARÁMETROS!$B$12)*12*(1+PARÁMETROS!$B$14)^(A16-1))</f>
        <v>11722.32</v>
      </c>
      <c r="K16" s="23" t="n">
        <f aca="false">IF($A16&gt;$B$11,"",G16-I16-J16)</f>
        <v>406.000000000005</v>
      </c>
      <c r="L16" s="23" t="n">
        <f aca="false">IF($A16&gt;$B$11,"",PARÁMETROS!$B$15*12*(1+PARÁMETROS!$B$10)^A16)</f>
        <v>20301.75475</v>
      </c>
      <c r="M16" s="25" t="n">
        <f aca="false">IF($A16&gt;$B$11,"",G16*PARÁMETROS!$B$16/L16)</f>
        <v>0.157790064920373</v>
      </c>
      <c r="N16" s="23" t="n">
        <f aca="false">IF($A16&gt;$B$11,"",N15*(1+DECISIONES!$B$9)+(PARÁMETROS!$B$11+DECISIONES!$B$6+IF(DECISIONES!$B$8="Sí",DECISIONES!$B$7,0))*12*(1+PARÁMETROS!$B$14)^(A16-1)-IF(A16=DECISIONES!$B$14,DECISIONES!$B$15,0)-IF(AND(A16&gt;DECISIONES!$B$14,A16&lt;=DECISIONES!$B$14+DECISIONES!$B$18),DECISIONES!$B$17*12,0)+IF(A16&gt;DECISIONES!$B$14,DECISIONES!$B$19*12*(1+PARÁMETROS!$B$10)^A16,0))</f>
        <v>-57487.8836253821</v>
      </c>
      <c r="O16" s="23" t="n">
        <f aca="false">IF($A16&gt;$B$11,"",V16+N16+F16)</f>
        <v>22597.4963746179</v>
      </c>
      <c r="P16" s="23" t="n">
        <f aca="false">IF($A16&gt;$B$11,"",(PARÁMETROS!$B$15-DECISIONES!$B$7)*12*(1+PARÁMETROS!$B$10)^A16-IF(A16&gt;DECISIONES!$B$14,DECISIONES!$B$19*12*(1+PARÁMETROS!$B$10)^A16,0))</f>
        <v>9846.75475</v>
      </c>
      <c r="Q16" s="25" t="n">
        <f aca="false">IF($A16&gt;$B$11,"",O16*PARÁMETROS!$B$16/P16)</f>
        <v>0.0917967267321975</v>
      </c>
      <c r="R16" s="23" t="n">
        <f aca="false">IF($A16&gt;$B$11,"",SUMPRODUCT(INMUEBLES!$D$5:$D$9,(1+INMUEBLES!$G$5:$G$9)^A16))</f>
        <v>0</v>
      </c>
      <c r="S16" s="23" t="n">
        <f aca="false">IF($A16&gt;$B$11,"",R16-VIVIENDA!$B$5*(1+PARÁMETROS!$B$19)^A16*VIVIENDA!$B$6+IF(AND(DECISIONES!$B$10="Sí",A16&gt;=DECISIONES!$B$14),VIVIENDA!$B$5*(1+PARÁMETROS!$B$19)^A16-IF(A16-DECISIONES!$B$14&gt;=DECISIONES!$B$18,0,MAX(0,FV(VIVIENDA!$B$11/12,(A16-DECISIONES!$B$14)*12,DECISIONES!$B$17,-DECISIONES!$B$16))),VIVIENDA!$B$5*(1+PARÁMETROS!$B$19)^A16*VIVIENDA!$B$6))</f>
        <v>50507.189460354</v>
      </c>
      <c r="T16" s="23" t="n">
        <f aca="false">IF($A16&gt;$B$11,"",G16+R16)</f>
        <v>80085.38</v>
      </c>
      <c r="U16" s="23" t="n">
        <f aca="false">IF($A16&gt;$B$11,"",O16+S16)</f>
        <v>73104.6858349719</v>
      </c>
      <c r="V16" s="23" t="n">
        <f aca="false">IF($A16&gt;$B$11,"",D16-DECISIONES!$B$5*(1+PARÁMETROS!$B$9)^A16)</f>
        <v>80085.38</v>
      </c>
    </row>
    <row r="17" customFormat="false" ht="15" hidden="false" customHeight="false" outlineLevel="0" collapsed="false">
      <c r="A17" s="86" t="n">
        <v>2</v>
      </c>
      <c r="B17" s="26" t="n">
        <f aca="false">IF($A17&gt;$B$11,"",PARÁMETROS!$B$4+A17)</f>
        <v>43</v>
      </c>
      <c r="C17" s="26" t="n">
        <f aca="false">IF($A17&gt;$B$11,"",PARÁMETROS!$B$6+A17)</f>
        <v>2028</v>
      </c>
      <c r="D17" s="23" t="n">
        <f aca="false">IF($A17&gt;$B$11,"",D16*(1+PARÁMETROS!$B$9)+PARÁMETROS!$B$13*12*(1+PARÁMETROS!$B$14)^(A17-1))</f>
        <v>92520.6053604083</v>
      </c>
      <c r="E17" s="23" t="n">
        <f aca="false">IF($A17&gt;$B$11,"",E16*(1+PARÁMETROS!$B$7)+PARÁMETROS!$B$11*12*(1+PARÁMETROS!$B$14)^(A17-1))</f>
        <v>0</v>
      </c>
      <c r="F17" s="23" t="n">
        <f aca="false">IF($A17&gt;$B$11,"",F16*(1+PARÁMETROS!$B$8)+PARÁMETROS!$B$12*12*(1+PARÁMETROS!$B$14)^(A17-1))</f>
        <v>0</v>
      </c>
      <c r="G17" s="23" t="n">
        <f aca="false">IF($A17&gt;$B$11,"",D17+E17+F17)</f>
        <v>92520.6053604083</v>
      </c>
      <c r="H17" s="23" t="n">
        <f aca="false">IF($A17&gt;$B$11,"",G17/(1+PARÁMETROS!$B$10)^A17)</f>
        <v>88062.444126504</v>
      </c>
      <c r="I17" s="23" t="n">
        <f aca="false">IF($A17&gt;$B$11,"",$G$15)</f>
        <v>67957.06</v>
      </c>
      <c r="J17" s="23" t="n">
        <f aca="false">IF($A17&gt;$B$11,"",J16+(PARÁMETROS!$B$13+PARÁMETROS!$B$11+PARÁMETROS!$B$12)*12*(1+PARÁMETROS!$B$14)^(A17-1))</f>
        <v>23679.0864</v>
      </c>
      <c r="K17" s="23" t="n">
        <f aca="false">IF($A17&gt;$B$11,"",G17-I17-J17)</f>
        <v>884.458960408254</v>
      </c>
      <c r="L17" s="23" t="n">
        <f aca="false">IF($A17&gt;$B$11,"",PARÁMETROS!$B$15*12*(1+PARÁMETROS!$B$10)^A17)</f>
        <v>20809.29861875</v>
      </c>
      <c r="M17" s="25" t="n">
        <f aca="false">IF($A17&gt;$B$11,"",G17*PARÁMETROS!$B$16/L17)</f>
        <v>0.177844735770274</v>
      </c>
      <c r="N17" s="23" t="n">
        <f aca="false">IF($A17&gt;$B$11,"",N16*(1+DECISIONES!$B$9)+(PARÁMETROS!$B$11+DECISIONES!$B$6+IF(DECISIONES!$B$8="Sí",DECISIONES!$B$7,0))*12*(1+PARÁMETROS!$B$14)^(A17-1)-IF(A17=DECISIONES!$B$14,DECISIONES!$B$15,0)-IF(AND(A17&gt;DECISIONES!$B$14,A17&lt;=DECISIONES!$B$14+DECISIONES!$B$18),DECISIONES!$B$17*12,0)+IF(A17&gt;DECISIONES!$B$14,DECISIONES!$B$19*12*(1+PARÁMETROS!$B$10)^A17,0))</f>
        <v>-59838.7864320332</v>
      </c>
      <c r="O17" s="23" t="n">
        <f aca="false">IF($A17&gt;$B$11,"",V17+N17+F17)</f>
        <v>32681.818928375</v>
      </c>
      <c r="P17" s="23" t="n">
        <f aca="false">IF($A17&gt;$B$11,"",(PARÁMETROS!$B$15-DECISIONES!$B$7)*12*(1+PARÁMETROS!$B$10)^A17-IF(A17&gt;DECISIONES!$B$14,DECISIONES!$B$19*12*(1+PARÁMETROS!$B$10)^A17,0))</f>
        <v>10092.92361875</v>
      </c>
      <c r="Q17" s="25" t="n">
        <f aca="false">IF($A17&gt;$B$11,"",O17*PARÁMETROS!$B$16/P17)</f>
        <v>0.129523694671228</v>
      </c>
      <c r="R17" s="23" t="n">
        <f aca="false">IF($A17&gt;$B$11,"",SUMPRODUCT(INMUEBLES!$D$5:$D$9,(1+INMUEBLES!$G$5:$G$9)^A17))</f>
        <v>0</v>
      </c>
      <c r="S17" s="23" t="n">
        <f aca="false">IF($A17&gt;$B$11,"",R17-VIVIENDA!$B$5*(1+PARÁMETROS!$B$19)^A17*VIVIENDA!$B$6+IF(AND(DECISIONES!$B$10="Sí",A17&gt;=DECISIONES!$B$14),VIVIENDA!$B$5*(1+PARÁMETROS!$B$19)^A17-IF(A17-DECISIONES!$B$14&gt;=DECISIONES!$B$18,0,MAX(0,FV(VIVIENDA!$B$11/12,(A17-DECISIONES!$B$14)*12,DECISIONES!$B$17,-DECISIONES!$B$16))),VIVIENDA!$B$5*(1+PARÁMETROS!$B$19)^A17*VIVIENDA!$B$6))</f>
        <v>62459.5331105597</v>
      </c>
      <c r="T17" s="23" t="n">
        <f aca="false">IF($A17&gt;$B$11,"",G17+R17)</f>
        <v>92520.6053604083</v>
      </c>
      <c r="U17" s="23" t="n">
        <f aca="false">IF($A17&gt;$B$11,"",O17+S17)</f>
        <v>95141.3520389348</v>
      </c>
      <c r="V17" s="23" t="n">
        <f aca="false">IF($A17&gt;$B$11,"",D17-DECISIONES!$B$5*(1+PARÁMETROS!$B$9)^A17)</f>
        <v>92520.6053604083</v>
      </c>
    </row>
    <row r="18" customFormat="false" ht="15" hidden="false" customHeight="false" outlineLevel="0" collapsed="false">
      <c r="A18" s="86" t="n">
        <v>3</v>
      </c>
      <c r="B18" s="26" t="n">
        <f aca="false">IF($A18&gt;$B$11,"",PARÁMETROS!$B$4+A18)</f>
        <v>44</v>
      </c>
      <c r="C18" s="26" t="n">
        <f aca="false">IF($A18&gt;$B$11,"",PARÁMETROS!$B$6+A18)</f>
        <v>2029</v>
      </c>
      <c r="D18" s="23" t="n">
        <f aca="false">IF($A18&gt;$B$11,"",D17*(1+PARÁMETROS!$B$9)+PARÁMETROS!$B$13*12*(1+PARÁMETROS!$B$14)^(A18-1))</f>
        <v>105269.2585726</v>
      </c>
      <c r="E18" s="23" t="n">
        <f aca="false">IF($A18&gt;$B$11,"",E17*(1+PARÁMETROS!$B$7)+PARÁMETROS!$B$11*12*(1+PARÁMETROS!$B$14)^(A18-1))</f>
        <v>0</v>
      </c>
      <c r="F18" s="23" t="n">
        <f aca="false">IF($A18&gt;$B$11,"",F17*(1+PARÁMETROS!$B$8)+PARÁMETROS!$B$12*12*(1+PARÁMETROS!$B$14)^(A18-1))</f>
        <v>0</v>
      </c>
      <c r="G18" s="23" t="n">
        <f aca="false">IF($A18&gt;$B$11,"",D18+E18+F18)</f>
        <v>105269.2585726</v>
      </c>
      <c r="H18" s="23" t="n">
        <f aca="false">IF($A18&gt;$B$11,"",G18/(1+PARÁMETROS!$B$10)^A18)</f>
        <v>97752.9714984754</v>
      </c>
      <c r="I18" s="23" t="n">
        <f aca="false">IF($A18&gt;$B$11,"",$G$15)</f>
        <v>67957.06</v>
      </c>
      <c r="J18" s="23" t="n">
        <f aca="false">IF($A18&gt;$B$11,"",J17+(PARÁMETROS!$B$13+PARÁMETROS!$B$11+PARÁMETROS!$B$12)*12*(1+PARÁMETROS!$B$14)^(A18-1))</f>
        <v>35874.988128</v>
      </c>
      <c r="K18" s="23" t="n">
        <f aca="false">IF($A18&gt;$B$11,"",G18-I18-J18)</f>
        <v>1437.21044460027</v>
      </c>
      <c r="L18" s="23" t="n">
        <f aca="false">IF($A18&gt;$B$11,"",PARÁMETROS!$B$15*12*(1+PARÁMETROS!$B$10)^A18)</f>
        <v>21329.5310842187</v>
      </c>
      <c r="M18" s="25" t="n">
        <f aca="false">IF($A18&gt;$B$11,"",G18*PARÁMETROS!$B$16/L18)</f>
        <v>0.197415045191475</v>
      </c>
      <c r="N18" s="23" t="n">
        <f aca="false">IF($A18&gt;$B$11,"",N17*(1+DECISIONES!$B$9)+(PARÁMETROS!$B$11+DECISIONES!$B$6+IF(DECISIONES!$B$8="Sí",DECISIONES!$B$7,0))*12*(1+PARÁMETROS!$B$14)^(A18-1)-IF(A18=DECISIONES!$B$14,DECISIONES!$B$15,0)-IF(AND(A18&gt;DECISIONES!$B$14,A18&lt;=DECISIONES!$B$14+DECISIONES!$B$18),DECISIONES!$B$17*12,0)+IF(A18&gt;DECISIONES!$B$14,DECISIONES!$B$19*12*(1+PARÁMETROS!$B$10)^A18,0))</f>
        <v>-62039.325004017</v>
      </c>
      <c r="O18" s="23" t="n">
        <f aca="false">IF($A18&gt;$B$11,"",V18+N18+F18)</f>
        <v>43229.9335685833</v>
      </c>
      <c r="P18" s="23" t="n">
        <f aca="false">IF($A18&gt;$B$11,"",(PARÁMETROS!$B$15-DECISIONES!$B$7)*12*(1+PARÁMETROS!$B$10)^A18-IF(A18&gt;DECISIONES!$B$14,DECISIONES!$B$19*12*(1+PARÁMETROS!$B$10)^A18,0))</f>
        <v>10345.2467092187</v>
      </c>
      <c r="Q18" s="25" t="n">
        <f aca="false">IF($A18&gt;$B$11,"",O18*PARÁMETROS!$B$16/P18)</f>
        <v>0.167148971053772</v>
      </c>
      <c r="R18" s="23" t="n">
        <f aca="false">IF($A18&gt;$B$11,"",SUMPRODUCT(INMUEBLES!$D$5:$D$9,(1+INMUEBLES!$G$5:$G$9)^A18))</f>
        <v>0</v>
      </c>
      <c r="S18" s="23" t="n">
        <f aca="false">IF($A18&gt;$B$11,"",R18-VIVIENDA!$B$5*(1+PARÁMETROS!$B$19)^A18*VIVIENDA!$B$6+IF(AND(DECISIONES!$B$10="Sí",A18&gt;=DECISIONES!$B$14),VIVIENDA!$B$5*(1+PARÁMETROS!$B$19)^A18-IF(A18-DECISIONES!$B$14&gt;=DECISIONES!$B$18,0,MAX(0,FV(VIVIENDA!$B$11/12,(A18-DECISIONES!$B$14)*12,DECISIONES!$B$17,-DECISIONES!$B$16))),VIVIENDA!$B$5*(1+PARÁMETROS!$B$19)^A18*VIVIENDA!$B$6))</f>
        <v>74767.2956033518</v>
      </c>
      <c r="T18" s="23" t="n">
        <f aca="false">IF($A18&gt;$B$11,"",G18+R18)</f>
        <v>105269.2585726</v>
      </c>
      <c r="U18" s="23" t="n">
        <f aca="false">IF($A18&gt;$B$11,"",O18+S18)</f>
        <v>117997.229171935</v>
      </c>
      <c r="V18" s="23" t="n">
        <f aca="false">IF($A18&gt;$B$11,"",D18-DECISIONES!$B$5*(1+PARÁMETROS!$B$9)^A18)</f>
        <v>105269.2585726</v>
      </c>
    </row>
    <row r="19" customFormat="false" ht="15" hidden="false" customHeight="false" outlineLevel="0" collapsed="false">
      <c r="A19" s="86" t="n">
        <v>4</v>
      </c>
      <c r="B19" s="26" t="n">
        <f aca="false">IF($A19&gt;$B$11,"",PARÁMETROS!$B$4+A19)</f>
        <v>45</v>
      </c>
      <c r="C19" s="26" t="n">
        <f aca="false">IF($A19&gt;$B$11,"",PARÁMETROS!$B$6+A19)</f>
        <v>2030</v>
      </c>
      <c r="D19" s="23" t="n">
        <f aca="false">IF($A19&gt;$B$11,"",D18*(1+PARÁMETROS!$B$9)+PARÁMETROS!$B$13*12*(1+PARÁMETROS!$B$14)^(A19-1))</f>
        <v>118337.994874229</v>
      </c>
      <c r="E19" s="23" t="n">
        <f aca="false">IF($A19&gt;$B$11,"",E18*(1+PARÁMETROS!$B$7)+PARÁMETROS!$B$11*12*(1+PARÁMETROS!$B$14)^(A19-1))</f>
        <v>0</v>
      </c>
      <c r="F19" s="23" t="n">
        <f aca="false">IF($A19&gt;$B$11,"",F18*(1+PARÁMETROS!$B$8)+PARÁMETROS!$B$12*12*(1+PARÁMETROS!$B$14)^(A19-1))</f>
        <v>0</v>
      </c>
      <c r="G19" s="23" t="n">
        <f aca="false">IF($A19&gt;$B$11,"",D19+E19+F19)</f>
        <v>118337.994874229</v>
      </c>
      <c r="H19" s="23" t="n">
        <f aca="false">IF($A19&gt;$B$11,"",G19/(1+PARÁMETROS!$B$10)^A19)</f>
        <v>107208.382760618</v>
      </c>
      <c r="I19" s="23" t="n">
        <f aca="false">IF($A19&gt;$B$11,"",$G$15)</f>
        <v>67957.06</v>
      </c>
      <c r="J19" s="23" t="n">
        <f aca="false">IF($A19&gt;$B$11,"",J18+(PARÁMETROS!$B$13+PARÁMETROS!$B$11+PARÁMETROS!$B$12)*12*(1+PARÁMETROS!$B$14)^(A19-1))</f>
        <v>48314.80789056</v>
      </c>
      <c r="K19" s="23" t="n">
        <f aca="false">IF($A19&gt;$B$11,"",G19-I19-J19)</f>
        <v>2066.12698366884</v>
      </c>
      <c r="L19" s="23" t="n">
        <f aca="false">IF($A19&gt;$B$11,"",PARÁMETROS!$B$15*12*(1+PARÁMETROS!$B$10)^A19)</f>
        <v>21862.7693613242</v>
      </c>
      <c r="M19" s="25" t="n">
        <f aca="false">IF($A19&gt;$B$11,"",G19*PARÁMETROS!$B$16/L19)</f>
        <v>0.216510530607475</v>
      </c>
      <c r="N19" s="23" t="n">
        <f aca="false">IF($A19&gt;$B$11,"",N18*(1+DECISIONES!$B$9)+(PARÁMETROS!$B$11+DECISIONES!$B$6+IF(DECISIONES!$B$8="Sí",DECISIONES!$B$7,0))*12*(1+PARÁMETROS!$B$14)^(A19-1)-IF(A19=DECISIONES!$B$14,DECISIONES!$B$15,0)-IF(AND(A19&gt;DECISIONES!$B$14,A19&lt;=DECISIONES!$B$14+DECISIONES!$B$18),DECISIONES!$B$17*12,0)+IF(A19&gt;DECISIONES!$B$14,DECISIONES!$B$19*12*(1+PARÁMETROS!$B$10)^A19,0))</f>
        <v>-64075.2833952249</v>
      </c>
      <c r="O19" s="23" t="n">
        <f aca="false">IF($A19&gt;$B$11,"",V19+N19+F19)</f>
        <v>54262.711479004</v>
      </c>
      <c r="P19" s="23" t="n">
        <f aca="false">IF($A19&gt;$B$11,"",(PARÁMETROS!$B$15-DECISIONES!$B$7)*12*(1+PARÁMETROS!$B$10)^A19-IF(A19&gt;DECISIONES!$B$14,DECISIONES!$B$19*12*(1+PARÁMETROS!$B$10)^A19,0))</f>
        <v>10603.8778769492</v>
      </c>
      <c r="Q19" s="25" t="n">
        <f aca="false">IF($A19&gt;$B$11,"",O19*PARÁMETROS!$B$16/P19)</f>
        <v>0.204690065686104</v>
      </c>
      <c r="R19" s="23" t="n">
        <f aca="false">IF($A19&gt;$B$11,"",SUMPRODUCT(INMUEBLES!$D$5:$D$9,(1+INMUEBLES!$G$5:$G$9)^A19))</f>
        <v>0</v>
      </c>
      <c r="S19" s="23" t="n">
        <f aca="false">IF($A19&gt;$B$11,"",R19-VIVIENDA!$B$5*(1+PARÁMETROS!$B$19)^A19*VIVIENDA!$B$6+IF(AND(DECISIONES!$B$10="Sí",A19&gt;=DECISIONES!$B$14),VIVIENDA!$B$5*(1+PARÁMETROS!$B$19)^A19-IF(A19-DECISIONES!$B$14&gt;=DECISIONES!$B$18,0,MAX(0,FV(VIVIENDA!$B$11/12,(A19-DECISIONES!$B$14)*12,DECISIONES!$B$17,-DECISIONES!$B$16))),VIVIENDA!$B$5*(1+PARÁMETROS!$B$19)^A19*VIVIENDA!$B$6))</f>
        <v>87441.0468868687</v>
      </c>
      <c r="T19" s="23" t="n">
        <f aca="false">IF($A19&gt;$B$11,"",G19+R19)</f>
        <v>118337.994874229</v>
      </c>
      <c r="U19" s="23" t="n">
        <f aca="false">IF($A19&gt;$B$11,"",O19+S19)</f>
        <v>141703.758365873</v>
      </c>
      <c r="V19" s="23" t="n">
        <f aca="false">IF($A19&gt;$B$11,"",D19-DECISIONES!$B$5*(1+PARÁMETROS!$B$9)^A19)</f>
        <v>118337.994874229</v>
      </c>
    </row>
    <row r="20" customFormat="false" ht="15" hidden="false" customHeight="false" outlineLevel="0" collapsed="false">
      <c r="A20" s="86" t="n">
        <v>5</v>
      </c>
      <c r="B20" s="26" t="n">
        <f aca="false">IF($A20&gt;$B$11,"",PARÁMETROS!$B$4+A20)</f>
        <v>46</v>
      </c>
      <c r="C20" s="26" t="n">
        <f aca="false">IF($A20&gt;$B$11,"",PARÁMETROS!$B$6+A20)</f>
        <v>2031</v>
      </c>
      <c r="D20" s="23" t="n">
        <f aca="false">IF($A20&gt;$B$11,"",D19*(1+PARÁMETROS!$B$9)+PARÁMETROS!$B$13*12*(1+PARÁMETROS!$B$14)^(A20-1))</f>
        <v>131733.604917869</v>
      </c>
      <c r="E20" s="23" t="n">
        <f aca="false">IF($A20&gt;$B$11,"",E19*(1+PARÁMETROS!$B$7)+PARÁMETROS!$B$11*12*(1+PARÁMETROS!$B$14)^(A20-1))</f>
        <v>0</v>
      </c>
      <c r="F20" s="23" t="n">
        <f aca="false">IF($A20&gt;$B$11,"",F19*(1+PARÁMETROS!$B$8)+PARÁMETROS!$B$12*12*(1+PARÁMETROS!$B$14)^(A20-1))</f>
        <v>0</v>
      </c>
      <c r="G20" s="23" t="n">
        <f aca="false">IF($A20&gt;$B$11,"",D20+E20+F20)</f>
        <v>131733.604917869</v>
      </c>
      <c r="H20" s="23" t="n">
        <f aca="false">IF($A20&gt;$B$11,"",G20/(1+PARÁMETROS!$B$10)^A20)</f>
        <v>116433.311528917</v>
      </c>
      <c r="I20" s="23" t="n">
        <f aca="false">IF($A20&gt;$B$11,"",$G$15)</f>
        <v>67957.06</v>
      </c>
      <c r="J20" s="23" t="n">
        <f aca="false">IF($A20&gt;$B$11,"",J19+(PARÁMETROS!$B$13+PARÁMETROS!$B$11+PARÁMETROS!$B$12)*12*(1+PARÁMETROS!$B$14)^(A20-1))</f>
        <v>61003.4240483712</v>
      </c>
      <c r="K20" s="23" t="n">
        <f aca="false">IF($A20&gt;$B$11,"",G20-I20-J20)</f>
        <v>2773.1208694982</v>
      </c>
      <c r="L20" s="23" t="n">
        <f aca="false">IF($A20&gt;$B$11,"",PARÁMETROS!$B$15*12*(1+PARÁMETROS!$B$10)^A20)</f>
        <v>22409.3385953573</v>
      </c>
      <c r="M20" s="25" t="n">
        <f aca="false">IF($A20&gt;$B$11,"",G20*PARÁMETROS!$B$16/L20)</f>
        <v>0.235140549744135</v>
      </c>
      <c r="N20" s="23" t="n">
        <f aca="false">IF($A20&gt;$B$11,"",N19*(1+DECISIONES!$B$9)+(PARÁMETROS!$B$11+DECISIONES!$B$6+IF(DECISIONES!$B$8="Sí",DECISIONES!$B$7,0))*12*(1+PARÁMETROS!$B$14)^(A20-1)-IF(A20=DECISIONES!$B$14,DECISIONES!$B$15,0)-IF(AND(A20&gt;DECISIONES!$B$14,A20&lt;=DECISIONES!$B$14+DECISIONES!$B$18),DECISIONES!$B$17*12,0)+IF(A20&gt;DECISIONES!$B$14,DECISIONES!$B$19*12*(1+PARÁMETROS!$B$10)^A20,0))</f>
        <v>-65931.5674188838</v>
      </c>
      <c r="O20" s="23" t="n">
        <f aca="false">IF($A20&gt;$B$11,"",V20+N20+F20)</f>
        <v>65802.0374989856</v>
      </c>
      <c r="P20" s="23" t="n">
        <f aca="false">IF($A20&gt;$B$11,"",(PARÁMETROS!$B$15-DECISIONES!$B$7)*12*(1+PARÁMETROS!$B$10)^A20-IF(A20&gt;DECISIONES!$B$14,DECISIONES!$B$19*12*(1+PARÁMETROS!$B$10)^A20,0))</f>
        <v>10868.9748238729</v>
      </c>
      <c r="Q20" s="25" t="n">
        <f aca="false">IF($A20&gt;$B$11,"",O20*PARÁMETROS!$B$16/P20)</f>
        <v>0.242164651460802</v>
      </c>
      <c r="R20" s="23" t="n">
        <f aca="false">IF($A20&gt;$B$11,"",SUMPRODUCT(INMUEBLES!$D$5:$D$9,(1+INMUEBLES!$G$5:$G$9)^A20))</f>
        <v>0</v>
      </c>
      <c r="S20" s="23" t="n">
        <f aca="false">IF($A20&gt;$B$11,"",R20-VIVIENDA!$B$5*(1+PARÁMETROS!$B$19)^A20*VIVIENDA!$B$6+IF(AND(DECISIONES!$B$10="Sí",A20&gt;=DECISIONES!$B$14),VIVIENDA!$B$5*(1+PARÁMETROS!$B$19)^A20-IF(A20-DECISIONES!$B$14&gt;=DECISIONES!$B$18,0,MAX(0,FV(VIVIENDA!$B$11/12,(A20-DECISIONES!$B$14)*12,DECISIONES!$B$17,-DECISIONES!$B$16))),VIVIENDA!$B$5*(1+PARÁMETROS!$B$19)^A20*VIVIENDA!$B$6))</f>
        <v>100491.671285807</v>
      </c>
      <c r="T20" s="23" t="n">
        <f aca="false">IF($A20&gt;$B$11,"",G20+R20)</f>
        <v>131733.604917869</v>
      </c>
      <c r="U20" s="23" t="n">
        <f aca="false">IF($A20&gt;$B$11,"",O20+S20)</f>
        <v>166293.708784793</v>
      </c>
      <c r="V20" s="23" t="n">
        <f aca="false">IF($A20&gt;$B$11,"",D20-DECISIONES!$B$5*(1+PARÁMETROS!$B$9)^A20)</f>
        <v>131733.604917869</v>
      </c>
    </row>
    <row r="21" customFormat="false" ht="15" hidden="false" customHeight="false" outlineLevel="0" collapsed="false">
      <c r="A21" s="86" t="n">
        <v>6</v>
      </c>
      <c r="B21" s="26" t="n">
        <f aca="false">IF($A21&gt;$B$11,"",PARÁMETROS!$B$4+A21)</f>
        <v>47</v>
      </c>
      <c r="C21" s="26" t="n">
        <f aca="false">IF($A21&gt;$B$11,"",PARÁMETROS!$B$6+A21)</f>
        <v>2032</v>
      </c>
      <c r="D21" s="23" t="n">
        <f aca="false">IF($A21&gt;$B$11,"",D20*(1+PARÁMETROS!$B$9)+PARÁMETROS!$B$13*12*(1+PARÁMETROS!$B$14)^(A21-1))</f>
        <v>145463.01749312</v>
      </c>
      <c r="E21" s="23" t="n">
        <f aca="false">IF($A21&gt;$B$11,"",E20*(1+PARÁMETROS!$B$7)+PARÁMETROS!$B$11*12*(1+PARÁMETROS!$B$14)^(A21-1))</f>
        <v>0</v>
      </c>
      <c r="F21" s="23" t="n">
        <f aca="false">IF($A21&gt;$B$11,"",F20*(1+PARÁMETROS!$B$8)+PARÁMETROS!$B$12*12*(1+PARÁMETROS!$B$14)^(A21-1))</f>
        <v>0</v>
      </c>
      <c r="G21" s="23" t="n">
        <f aca="false">IF($A21&gt;$B$11,"",D21+E21+F21)</f>
        <v>145463.01749312</v>
      </c>
      <c r="H21" s="23" t="n">
        <f aca="false">IF($A21&gt;$B$11,"",G21/(1+PARÁMETROS!$B$10)^A21)</f>
        <v>125432.304097476</v>
      </c>
      <c r="I21" s="23" t="n">
        <f aca="false">IF($A21&gt;$B$11,"",$G$15)</f>
        <v>67957.06</v>
      </c>
      <c r="J21" s="23" t="n">
        <f aca="false">IF($A21&gt;$B$11,"",J20+(PARÁMETROS!$B$13+PARÁMETROS!$B$11+PARÁMETROS!$B$12)*12*(1+PARÁMETROS!$B$14)^(A21-1))</f>
        <v>73945.8125293386</v>
      </c>
      <c r="K21" s="23" t="n">
        <f aca="false">IF($A21&gt;$B$11,"",G21-I21-J21)</f>
        <v>3560.1449637815</v>
      </c>
      <c r="L21" s="23" t="n">
        <f aca="false">IF($A21&gt;$B$11,"",PARÁMETROS!$B$15*12*(1+PARÁMETROS!$B$10)^A21)</f>
        <v>22969.5720602412</v>
      </c>
      <c r="M21" s="25" t="n">
        <f aca="false">IF($A21&gt;$B$11,"",G21*PARÁMETROS!$B$16/L21)</f>
        <v>0.253314283978162</v>
      </c>
      <c r="N21" s="23" t="n">
        <f aca="false">IF($A21&gt;$B$11,"",N20*(1+DECISIONES!$B$9)+(PARÁMETROS!$B$11+DECISIONES!$B$6+IF(DECISIONES!$B$8="Sí",DECISIONES!$B$7,0))*12*(1+PARÁMETROS!$B$14)^(A21-1)-IF(A21=DECISIONES!$B$14,DECISIONES!$B$15,0)-IF(AND(A21&gt;DECISIONES!$B$14,A21&lt;=DECISIONES!$B$14+DECISIONES!$B$18),DECISIONES!$B$17*12,0)+IF(A21&gt;DECISIONES!$B$14,DECISIONES!$B$19*12*(1+PARÁMETROS!$B$10)^A21,0))</f>
        <v>-67592.1565494386</v>
      </c>
      <c r="O21" s="23" t="n">
        <f aca="false">IF($A21&gt;$B$11,"",V21+N21+F21)</f>
        <v>77870.8609436816</v>
      </c>
      <c r="P21" s="23" t="n">
        <f aca="false">IF($A21&gt;$B$11,"",(PARÁMETROS!$B$15-DECISIONES!$B$7)*12*(1+PARÁMETROS!$B$10)^A21-IF(A21&gt;DECISIONES!$B$14,DECISIONES!$B$19*12*(1+PARÁMETROS!$B$10)^A21,0))</f>
        <v>11140.6991944698</v>
      </c>
      <c r="Q21" s="25" t="n">
        <f aca="false">IF($A21&gt;$B$11,"",O21*PARÁMETROS!$B$16/P21)</f>
        <v>0.279590569979078</v>
      </c>
      <c r="R21" s="23" t="n">
        <f aca="false">IF($A21&gt;$B$11,"",SUMPRODUCT(INMUEBLES!$D$5:$D$9,(1+INMUEBLES!$G$5:$G$9)^A21))</f>
        <v>0</v>
      </c>
      <c r="S21" s="23" t="n">
        <f aca="false">IF($A21&gt;$B$11,"",R21-VIVIENDA!$B$5*(1+PARÁMETROS!$B$19)^A21*VIVIENDA!$B$6+IF(AND(DECISIONES!$B$10="Sí",A21&gt;=DECISIONES!$B$14),VIVIENDA!$B$5*(1+PARÁMETROS!$B$19)^A21-IF(A21-DECISIONES!$B$14&gt;=DECISIONES!$B$18,0,MAX(0,FV(VIVIENDA!$B$11/12,(A21-DECISIONES!$B$14)*12,DECISIONES!$B$17,-DECISIONES!$B$16))),VIVIENDA!$B$5*(1+PARÁMETROS!$B$19)^A21*VIVIENDA!$B$6))</f>
        <v>113930.376852727</v>
      </c>
      <c r="T21" s="23" t="n">
        <f aca="false">IF($A21&gt;$B$11,"",G21+R21)</f>
        <v>145463.01749312</v>
      </c>
      <c r="U21" s="23" t="n">
        <f aca="false">IF($A21&gt;$B$11,"",O21+S21)</f>
        <v>191801.237796408</v>
      </c>
      <c r="V21" s="23" t="n">
        <f aca="false">IF($A21&gt;$B$11,"",D21-DECISIONES!$B$5*(1+PARÁMETROS!$B$9)^A21)</f>
        <v>145463.01749312</v>
      </c>
    </row>
    <row r="22" customFormat="false" ht="15" hidden="false" customHeight="false" outlineLevel="0" collapsed="false">
      <c r="A22" s="86" t="n">
        <v>7</v>
      </c>
      <c r="B22" s="26" t="n">
        <f aca="false">IF($A22&gt;$B$11,"",PARÁMETROS!$B$4+A22)</f>
        <v>48</v>
      </c>
      <c r="C22" s="26" t="n">
        <f aca="false">IF($A22&gt;$B$11,"",PARÁMETROS!$B$6+A22)</f>
        <v>2033</v>
      </c>
      <c r="D22" s="23" t="n">
        <f aca="false">IF($A22&gt;$B$11,"",D21*(1+PARÁMETROS!$B$9)+PARÁMETROS!$B$13*12*(1+PARÁMETROS!$B$14)^(A22-1))</f>
        <v>159533.302303227</v>
      </c>
      <c r="E22" s="23" t="n">
        <f aca="false">IF($A22&gt;$B$11,"",E21*(1+PARÁMETROS!$B$7)+PARÁMETROS!$B$11*12*(1+PARÁMETROS!$B$14)^(A22-1))</f>
        <v>0</v>
      </c>
      <c r="F22" s="23" t="n">
        <f aca="false">IF($A22&gt;$B$11,"",F21*(1+PARÁMETROS!$B$8)+PARÁMETROS!$B$12*12*(1+PARÁMETROS!$B$14)^(A22-1))</f>
        <v>0</v>
      </c>
      <c r="G22" s="23" t="n">
        <f aca="false">IF($A22&gt;$B$11,"",D22+E22+F22)</f>
        <v>159533.302303227</v>
      </c>
      <c r="H22" s="23" t="n">
        <f aca="false">IF($A22&gt;$B$11,"",G22/(1+PARÁMETROS!$B$10)^A22)</f>
        <v>134209.821065758</v>
      </c>
      <c r="I22" s="23" t="n">
        <f aca="false">IF($A22&gt;$B$11,"",$G$15)</f>
        <v>67957.06</v>
      </c>
      <c r="J22" s="23" t="n">
        <f aca="false">IF($A22&gt;$B$11,"",J21+(PARÁMETROS!$B$13+PARÁMETROS!$B$11+PARÁMETROS!$B$12)*12*(1+PARÁMETROS!$B$14)^(A22-1))</f>
        <v>87147.0487799254</v>
      </c>
      <c r="K22" s="23" t="n">
        <f aca="false">IF($A22&gt;$B$11,"",G22-I22-J22)</f>
        <v>4429.19352330139</v>
      </c>
      <c r="L22" s="23" t="n">
        <f aca="false">IF($A22&gt;$B$11,"",PARÁMETROS!$B$15*12*(1+PARÁMETROS!$B$10)^A22)</f>
        <v>23543.8113617473</v>
      </c>
      <c r="M22" s="25" t="n">
        <f aca="false">IF($A22&gt;$B$11,"",G22*PARÁMETROS!$B$16/L22)</f>
        <v>0.271040741623386</v>
      </c>
      <c r="N22" s="23" t="n">
        <f aca="false">IF($A22&gt;$B$11,"",N21*(1+DECISIONES!$B$9)+(PARÁMETROS!$B$11+DECISIONES!$B$6+IF(DECISIONES!$B$8="Sí",DECISIONES!$B$7,0))*12*(1+PARÁMETROS!$B$14)^(A22-1)-IF(A22=DECISIONES!$B$14,DECISIONES!$B$15,0)-IF(AND(A22&gt;DECISIONES!$B$14,A22&lt;=DECISIONES!$B$14+DECISIONES!$B$18),DECISIONES!$B$17*12,0)+IF(A22&gt;DECISIONES!$B$14,DECISIONES!$B$19*12*(1+PARÁMETROS!$B$10)^A22,0))</f>
        <v>-69040.0533148768</v>
      </c>
      <c r="O22" s="23" t="n">
        <f aca="false">IF($A22&gt;$B$11,"",V22+N22+F22)</f>
        <v>90493.24898835</v>
      </c>
      <c r="P22" s="23" t="n">
        <f aca="false">IF($A22&gt;$B$11,"",(PARÁMETROS!$B$15-DECISIONES!$B$7)*12*(1+PARÁMETROS!$B$10)^A22-IF(A22&gt;DECISIONES!$B$14,DECISIONES!$B$19*12*(1+PARÁMETROS!$B$10)^A22,0))</f>
        <v>11419.2166743315</v>
      </c>
      <c r="Q22" s="25" t="n">
        <f aca="false">IF($A22&gt;$B$11,"",O22*PARÁMETROS!$B$16/P22)</f>
        <v>0.316985837362255</v>
      </c>
      <c r="R22" s="23" t="n">
        <f aca="false">IF($A22&gt;$B$11,"",SUMPRODUCT(INMUEBLES!$D$5:$D$9,(1+INMUEBLES!$G$5:$G$9)^A22))</f>
        <v>0</v>
      </c>
      <c r="S22" s="23" t="n">
        <f aca="false">IF($A22&gt;$B$11,"",R22-VIVIENDA!$B$5*(1+PARÁMETROS!$B$19)^A22*VIVIENDA!$B$6+IF(AND(DECISIONES!$B$10="Sí",A22&gt;=DECISIONES!$B$14),VIVIENDA!$B$5*(1+PARÁMETROS!$B$19)^A22-IF(A22-DECISIONES!$B$14&gt;=DECISIONES!$B$18,0,MAX(0,FV(VIVIENDA!$B$11/12,(A22-DECISIONES!$B$14)*12,DECISIONES!$B$17,-DECISIONES!$B$16))),VIVIENDA!$B$5*(1+PARÁMETROS!$B$19)^A22*VIVIENDA!$B$6))</f>
        <v>127768.70499754</v>
      </c>
      <c r="T22" s="23" t="n">
        <f aca="false">IF($A22&gt;$B$11,"",G22+R22)</f>
        <v>159533.302303227</v>
      </c>
      <c r="U22" s="23" t="n">
        <f aca="false">IF($A22&gt;$B$11,"",O22+S22)</f>
        <v>218261.95398589</v>
      </c>
      <c r="V22" s="23" t="n">
        <f aca="false">IF($A22&gt;$B$11,"",D22-DECISIONES!$B$5*(1+PARÁMETROS!$B$9)^A22)</f>
        <v>159533.302303227</v>
      </c>
    </row>
    <row r="23" customFormat="false" ht="15" hidden="false" customHeight="false" outlineLevel="0" collapsed="false">
      <c r="A23" s="86" t="n">
        <v>8</v>
      </c>
      <c r="B23" s="26" t="n">
        <f aca="false">IF($A23&gt;$B$11,"",PARÁMETROS!$B$4+A23)</f>
        <v>49</v>
      </c>
      <c r="C23" s="26" t="n">
        <f aca="false">IF($A23&gt;$B$11,"",PARÁMETROS!$B$6+A23)</f>
        <v>2034</v>
      </c>
      <c r="D23" s="23" t="n">
        <f aca="false">IF($A23&gt;$B$11,"",D22*(1+PARÁMETROS!$B$9)+PARÁMETROS!$B$13*12*(1+PARÁMETROS!$B$14)^(A23-1))</f>
        <v>173951.672797323</v>
      </c>
      <c r="E23" s="23" t="n">
        <f aca="false">IF($A23&gt;$B$11,"",E22*(1+PARÁMETROS!$B$7)+PARÁMETROS!$B$11*12*(1+PARÁMETROS!$B$14)^(A23-1))</f>
        <v>0</v>
      </c>
      <c r="F23" s="23" t="n">
        <f aca="false">IF($A23&gt;$B$11,"",F22*(1+PARÁMETROS!$B$8)+PARÁMETROS!$B$12*12*(1+PARÁMETROS!$B$14)^(A23-1))</f>
        <v>0</v>
      </c>
      <c r="G23" s="23" t="n">
        <f aca="false">IF($A23&gt;$B$11,"",D23+E23+F23)</f>
        <v>173951.672797323</v>
      </c>
      <c r="H23" s="23" t="n">
        <f aca="false">IF($A23&gt;$B$11,"",G23/(1+PARÁMETROS!$B$10)^A23)</f>
        <v>142770.238935604</v>
      </c>
      <c r="I23" s="23" t="n">
        <f aca="false">IF($A23&gt;$B$11,"",$G$15)</f>
        <v>67957.06</v>
      </c>
      <c r="J23" s="23" t="n">
        <f aca="false">IF($A23&gt;$B$11,"",J22+(PARÁMETROS!$B$13+PARÁMETROS!$B$11+PARÁMETROS!$B$12)*12*(1+PARÁMETROS!$B$14)^(A23-1))</f>
        <v>100612.309755524</v>
      </c>
      <c r="K23" s="23" t="n">
        <f aca="false">IF($A23&gt;$B$11,"",G23-I23-J23)</f>
        <v>5382.30304179897</v>
      </c>
      <c r="L23" s="23" t="n">
        <f aca="false">IF($A23&gt;$B$11,"",PARÁMETROS!$B$15*12*(1+PARÁMETROS!$B$10)^A23)</f>
        <v>24132.406645791</v>
      </c>
      <c r="M23" s="25" t="n">
        <f aca="false">IF($A23&gt;$B$11,"",G23*PARÁMETROS!$B$16/L23)</f>
        <v>0.288328761155966</v>
      </c>
      <c r="N23" s="23" t="n">
        <f aca="false">IF($A23&gt;$B$11,"",N22*(1+DECISIONES!$B$9)+(PARÁMETROS!$B$11+DECISIONES!$B$6+IF(DECISIONES!$B$8="Sí",DECISIONES!$B$7,0))*12*(1+PARÁMETROS!$B$14)^(A23-1)-IF(A23=DECISIONES!$B$14,DECISIONES!$B$15,0)-IF(AND(A23&gt;DECISIONES!$B$14,A23&lt;=DECISIONES!$B$14+DECISIONES!$B$18),DECISIONES!$B$17*12,0)+IF(A23&gt;DECISIONES!$B$14,DECISIONES!$B$19*12*(1+PARÁMETROS!$B$10)^A23,0))</f>
        <v>-70257.2300514016</v>
      </c>
      <c r="O23" s="23" t="n">
        <f aca="false">IF($A23&gt;$B$11,"",V23+N23+F23)</f>
        <v>103694.442745921</v>
      </c>
      <c r="P23" s="23" t="n">
        <f aca="false">IF($A23&gt;$B$11,"",(PARÁMETROS!$B$15-DECISIONES!$B$7)*12*(1+PARÁMETROS!$B$10)^A23-IF(A23&gt;DECISIONES!$B$14,DECISIONES!$B$19*12*(1+PARÁMETROS!$B$10)^A23,0))</f>
        <v>11704.6970911898</v>
      </c>
      <c r="Q23" s="25" t="n">
        <f aca="false">IF($A23&gt;$B$11,"",O23*PARÁMETROS!$B$16/P23)</f>
        <v>0.354368650254</v>
      </c>
      <c r="R23" s="23" t="n">
        <f aca="false">IF($A23&gt;$B$11,"",SUMPRODUCT(INMUEBLES!$D$5:$D$9,(1+INMUEBLES!$G$5:$G$9)^A23))</f>
        <v>0</v>
      </c>
      <c r="S23" s="23" t="n">
        <f aca="false">IF($A23&gt;$B$11,"",R23-VIVIENDA!$B$5*(1+PARÁMETROS!$B$19)^A23*VIVIENDA!$B$6+IF(AND(DECISIONES!$B$10="Sí",A23&gt;=DECISIONES!$B$14),VIVIENDA!$B$5*(1+PARÁMETROS!$B$19)^A23-IF(A23-DECISIONES!$B$14&gt;=DECISIONES!$B$18,0,MAX(0,FV(VIVIENDA!$B$11/12,(A23-DECISIONES!$B$14)*12,DECISIONES!$B$17,-DECISIONES!$B$16))),VIVIENDA!$B$5*(1+PARÁMETROS!$B$19)^A23*VIVIENDA!$B$6))</f>
        <v>142018.540403475</v>
      </c>
      <c r="T23" s="23" t="n">
        <f aca="false">IF($A23&gt;$B$11,"",G23+R23)</f>
        <v>173951.672797323</v>
      </c>
      <c r="U23" s="23" t="n">
        <f aca="false">IF($A23&gt;$B$11,"",O23+S23)</f>
        <v>245712.983149396</v>
      </c>
      <c r="V23" s="23" t="n">
        <f aca="false">IF($A23&gt;$B$11,"",D23-DECISIONES!$B$5*(1+PARÁMETROS!$B$9)^A23)</f>
        <v>173951.672797323</v>
      </c>
    </row>
    <row r="24" customFormat="false" ht="15" hidden="false" customHeight="false" outlineLevel="0" collapsed="false">
      <c r="A24" s="86" t="n">
        <v>9</v>
      </c>
      <c r="B24" s="26" t="n">
        <f aca="false">IF($A24&gt;$B$11,"",PARÁMETROS!$B$4+A24)</f>
        <v>50</v>
      </c>
      <c r="C24" s="26" t="n">
        <f aca="false">IF($A24&gt;$B$11,"",PARÁMETROS!$B$6+A24)</f>
        <v>2035</v>
      </c>
      <c r="D24" s="23" t="n">
        <f aca="false">IF($A24&gt;$B$11,"",D23*(1+PARÁMETROS!$B$9)+PARÁMETROS!$B$13*12*(1+PARÁMETROS!$B$14)^(A24-1))</f>
        <v>188725.489059398</v>
      </c>
      <c r="E24" s="23" t="n">
        <f aca="false">IF($A24&gt;$B$11,"",E23*(1+PARÁMETROS!$B$7)+PARÁMETROS!$B$11*12*(1+PARÁMETROS!$B$14)^(A24-1))</f>
        <v>0</v>
      </c>
      <c r="F24" s="23" t="n">
        <f aca="false">IF($A24&gt;$B$11,"",F23*(1+PARÁMETROS!$B$8)+PARÁMETROS!$B$12*12*(1+PARÁMETROS!$B$14)^(A24-1))</f>
        <v>0</v>
      </c>
      <c r="G24" s="23" t="n">
        <f aca="false">IF($A24&gt;$B$11,"",D24+E24+F24)</f>
        <v>188725.489059398</v>
      </c>
      <c r="H24" s="23" t="n">
        <f aca="false">IF($A24&gt;$B$11,"",G24/(1+PARÁMETROS!$B$10)^A24)</f>
        <v>151117.851678561</v>
      </c>
      <c r="I24" s="23" t="n">
        <f aca="false">IF($A24&gt;$B$11,"",$G$15)</f>
        <v>67957.06</v>
      </c>
      <c r="J24" s="23" t="n">
        <f aca="false">IF($A24&gt;$B$11,"",J23+(PARÁMETROS!$B$13+PARÁMETROS!$B$11+PARÁMETROS!$B$12)*12*(1+PARÁMETROS!$B$14)^(A24-1))</f>
        <v>114346.875950634</v>
      </c>
      <c r="K24" s="23" t="n">
        <f aca="false">IF($A24&gt;$B$11,"",G24-I24-J24)</f>
        <v>6421.55310876352</v>
      </c>
      <c r="L24" s="23" t="n">
        <f aca="false">IF($A24&gt;$B$11,"",PARÁMETROS!$B$15*12*(1+PARÁMETROS!$B$10)^A24)</f>
        <v>24735.7168119357</v>
      </c>
      <c r="M24" s="25" t="n">
        <f aca="false">IF($A24&gt;$B$11,"",G24*PARÁMETROS!$B$16/L24)</f>
        <v>0.30518701437968</v>
      </c>
      <c r="N24" s="23" t="n">
        <f aca="false">IF($A24&gt;$B$11,"",N23*(1+DECISIONES!$B$9)+(PARÁMETROS!$B$11+DECISIONES!$B$6+IF(DECISIONES!$B$8="Sí",DECISIONES!$B$7,0))*12*(1+PARÁMETROS!$B$14)^(A24-1)-IF(A24=DECISIONES!$B$14,DECISIONES!$B$15,0)-IF(AND(A24&gt;DECISIONES!$B$14,A24&lt;=DECISIONES!$B$14+DECISIONES!$B$18),DECISIONES!$B$17*12,0)+IF(A24&gt;DECISIONES!$B$14,DECISIONES!$B$19*12*(1+PARÁMETROS!$B$10)^A24,0))</f>
        <v>-71224.5728858875</v>
      </c>
      <c r="O24" s="23" t="n">
        <f aca="false">IF($A24&gt;$B$11,"",V24+N24+F24)</f>
        <v>117500.91617351</v>
      </c>
      <c r="P24" s="23" t="n">
        <f aca="false">IF($A24&gt;$B$11,"",(PARÁMETROS!$B$15-DECISIONES!$B$7)*12*(1+PARÁMETROS!$B$10)^A24-IF(A24&gt;DECISIONES!$B$14,DECISIONES!$B$19*12*(1+PARÁMETROS!$B$10)^A24,0))</f>
        <v>11997.3145184695</v>
      </c>
      <c r="Q24" s="25" t="n">
        <f aca="false">IF($A24&gt;$B$11,"",O24*PARÁMETROS!$B$16/P24)</f>
        <v>0.391757392015091</v>
      </c>
      <c r="R24" s="23" t="n">
        <f aca="false">IF($A24&gt;$B$11,"",SUMPRODUCT(INMUEBLES!$D$5:$D$9,(1+INMUEBLES!$G$5:$G$9)^A24))</f>
        <v>0</v>
      </c>
      <c r="S24" s="23" t="n">
        <f aca="false">IF($A24&gt;$B$11,"",R24-VIVIENDA!$B$5*(1+PARÁMETROS!$B$19)^A24*VIVIENDA!$B$6+IF(AND(DECISIONES!$B$10="Sí",A24&gt;=DECISIONES!$B$14),VIVIENDA!$B$5*(1+PARÁMETROS!$B$19)^A24-IF(A24-DECISIONES!$B$14&gt;=DECISIONES!$B$18,0,MAX(0,FV(VIVIENDA!$B$11/12,(A24-DECISIONES!$B$14)*12,DECISIONES!$B$17,-DECISIONES!$B$16))),VIVIENDA!$B$5*(1+PARÁMETROS!$B$19)^A24*VIVIENDA!$B$6))</f>
        <v>156692.121238014</v>
      </c>
      <c r="T24" s="23" t="n">
        <f aca="false">IF($A24&gt;$B$11,"",G24+R24)</f>
        <v>188725.489059398</v>
      </c>
      <c r="U24" s="23" t="n">
        <f aca="false">IF($A24&gt;$B$11,"",O24+S24)</f>
        <v>274193.037411524</v>
      </c>
      <c r="V24" s="23" t="n">
        <f aca="false">IF($A24&gt;$B$11,"",D24-DECISIONES!$B$5*(1+PARÁMETROS!$B$9)^A24)</f>
        <v>188725.489059398</v>
      </c>
    </row>
    <row r="25" customFormat="false" ht="15" hidden="false" customHeight="false" outlineLevel="0" collapsed="false">
      <c r="A25" s="86" t="n">
        <v>10</v>
      </c>
      <c r="B25" s="26" t="n">
        <f aca="false">IF($A25&gt;$B$11,"",PARÁMETROS!$B$4+A25)</f>
        <v>51</v>
      </c>
      <c r="C25" s="26" t="n">
        <f aca="false">IF($A25&gt;$B$11,"",PARÁMETROS!$B$6+A25)</f>
        <v>2036</v>
      </c>
      <c r="D25" s="23" t="n">
        <f aca="false">IF($A25&gt;$B$11,"",D24*(1+PARÁMETROS!$B$9)+PARÁMETROS!$B$13*12*(1+PARÁMETROS!$B$14)^(A25-1))</f>
        <v>203862.260755129</v>
      </c>
      <c r="E25" s="23" t="n">
        <f aca="false">IF($A25&gt;$B$11,"",E24*(1+PARÁMETROS!$B$7)+PARÁMETROS!$B$11*12*(1+PARÁMETROS!$B$14)^(A25-1))</f>
        <v>0</v>
      </c>
      <c r="F25" s="23" t="n">
        <f aca="false">IF($A25&gt;$B$11,"",F24*(1+PARÁMETROS!$B$8)+PARÁMETROS!$B$12*12*(1+PARÁMETROS!$B$14)^(A25-1))</f>
        <v>0</v>
      </c>
      <c r="G25" s="23" t="n">
        <f aca="false">IF($A25&gt;$B$11,"",D25+E25+F25)</f>
        <v>203862.260755129</v>
      </c>
      <c r="H25" s="23" t="n">
        <f aca="false">IF($A25&gt;$B$11,"",G25/(1+PARÁMETROS!$B$10)^A25)</f>
        <v>159256.8722741</v>
      </c>
      <c r="I25" s="23" t="n">
        <f aca="false">IF($A25&gt;$B$11,"",$G$15)</f>
        <v>67957.06</v>
      </c>
      <c r="J25" s="23" t="n">
        <f aca="false">IF($A25&gt;$B$11,"",J24+(PARÁMETROS!$B$13+PARÁMETROS!$B$11+PARÁMETROS!$B$12)*12*(1+PARÁMETROS!$B$14)^(A25-1))</f>
        <v>128356.133469647</v>
      </c>
      <c r="K25" s="23" t="n">
        <f aca="false">IF($A25&gt;$B$11,"",G25-I25-J25)</f>
        <v>7549.06728548212</v>
      </c>
      <c r="L25" s="23" t="n">
        <f aca="false">IF($A25&gt;$B$11,"",PARÁMETROS!$B$15*12*(1+PARÁMETROS!$B$10)^A25)</f>
        <v>25354.1097322341</v>
      </c>
      <c r="M25" s="25" t="n">
        <f aca="false">IF($A25&gt;$B$11,"",G25*PARÁMETROS!$B$16/L25)</f>
        <v>0.321624009532384</v>
      </c>
      <c r="N25" s="23" t="n">
        <f aca="false">IF($A25&gt;$B$11,"",N24*(1+DECISIONES!$B$9)+(PARÁMETROS!$B$11+DECISIONES!$B$6+IF(DECISIONES!$B$8="Sí",DECISIONES!$B$7,0))*12*(1+PARÁMETROS!$B$14)^(A25-1)-IF(A25=DECISIONES!$B$14,DECISIONES!$B$15,0)-IF(AND(A25&gt;DECISIONES!$B$14,A25&lt;=DECISIONES!$B$14+DECISIONES!$B$18),DECISIONES!$B$17*12,0)+IF(A25&gt;DECISIONES!$B$14,DECISIONES!$B$19*12*(1+PARÁMETROS!$B$10)^A25,0))</f>
        <v>-71921.8228047611</v>
      </c>
      <c r="O25" s="23" t="n">
        <f aca="false">IF($A25&gt;$B$11,"",V25+N25+F25)</f>
        <v>131940.437950368</v>
      </c>
      <c r="P25" s="23" t="n">
        <f aca="false">IF($A25&gt;$B$11,"",(PARÁMETROS!$B$15-DECISIONES!$B$7)*12*(1+PARÁMETROS!$B$10)^A25-IF(A25&gt;DECISIONES!$B$14,DECISIONES!$B$19*12*(1+PARÁMETROS!$B$10)^A25,0))</f>
        <v>12297.2473814313</v>
      </c>
      <c r="Q25" s="25" t="n">
        <f aca="false">IF($A25&gt;$B$11,"",O25*PARÁMETROS!$B$16/P25)</f>
        <v>0.429170639112609</v>
      </c>
      <c r="R25" s="23" t="n">
        <f aca="false">IF($A25&gt;$B$11,"",SUMPRODUCT(INMUEBLES!$D$5:$D$9,(1+INMUEBLES!$G$5:$G$9)^A25))</f>
        <v>0</v>
      </c>
      <c r="S25" s="23" t="n">
        <f aca="false">IF($A25&gt;$B$11,"",R25-VIVIENDA!$B$5*(1+PARÁMETROS!$B$19)^A25*VIVIENDA!$B$6+IF(AND(DECISIONES!$B$10="Sí",A25&gt;=DECISIONES!$B$14),VIVIENDA!$B$5*(1+PARÁMETROS!$B$19)^A25-IF(A25-DECISIONES!$B$14&gt;=DECISIONES!$B$18,0,MAX(0,FV(VIVIENDA!$B$11/12,(A25-DECISIONES!$B$14)*12,DECISIONES!$B$17,-DECISIONES!$B$16))),VIVIENDA!$B$5*(1+PARÁMETROS!$B$19)^A25*VIVIENDA!$B$6))</f>
        <v>171802.049667608</v>
      </c>
      <c r="T25" s="23" t="n">
        <f aca="false">IF($A25&gt;$B$11,"",G25+R25)</f>
        <v>203862.260755129</v>
      </c>
      <c r="U25" s="23" t="n">
        <f aca="false">IF($A25&gt;$B$11,"",O25+S25)</f>
        <v>303742.487617976</v>
      </c>
      <c r="V25" s="23" t="n">
        <f aca="false">IF($A25&gt;$B$11,"",D25-DECISIONES!$B$5*(1+PARÁMETROS!$B$9)^A25)</f>
        <v>203862.260755129</v>
      </c>
    </row>
    <row r="26" customFormat="false" ht="15" hidden="false" customHeight="false" outlineLevel="0" collapsed="false">
      <c r="A26" s="86" t="n">
        <v>11</v>
      </c>
      <c r="B26" s="26" t="n">
        <f aca="false">IF($A26&gt;$B$11,"",PARÁMETROS!$B$4+A26)</f>
        <v>52</v>
      </c>
      <c r="C26" s="26" t="n">
        <f aca="false">IF($A26&gt;$B$11,"",PARÁMETROS!$B$6+A26)</f>
        <v>2037</v>
      </c>
      <c r="D26" s="23" t="n">
        <f aca="false">IF($A26&gt;$B$11,"",D25*(1+PARÁMETROS!$B$9)+PARÁMETROS!$B$13*12*(1+PARÁMETROS!$B$14)^(A26-1))</f>
        <v>219369.650137735</v>
      </c>
      <c r="E26" s="23" t="n">
        <f aca="false">IF($A26&gt;$B$11,"",E25*(1+PARÁMETROS!$B$7)+PARÁMETROS!$B$11*12*(1+PARÁMETROS!$B$14)^(A26-1))</f>
        <v>0</v>
      </c>
      <c r="F26" s="23" t="n">
        <f aca="false">IF($A26&gt;$B$11,"",F25*(1+PARÁMETROS!$B$8)+PARÁMETROS!$B$12*12*(1+PARÁMETROS!$B$14)^(A26-1))</f>
        <v>0</v>
      </c>
      <c r="G26" s="23" t="n">
        <f aca="false">IF($A26&gt;$B$11,"",D26+E26+F26)</f>
        <v>219369.650137735</v>
      </c>
      <c r="H26" s="23" t="n">
        <f aca="false">IF($A26&gt;$B$11,"",G26/(1+PARÁMETROS!$B$10)^A26)</f>
        <v>167191.434219249</v>
      </c>
      <c r="I26" s="23" t="n">
        <f aca="false">IF($A26&gt;$B$11,"",$G$15)</f>
        <v>67957.06</v>
      </c>
      <c r="J26" s="23" t="n">
        <f aca="false">IF($A26&gt;$B$11,"",J25+(PARÁMETROS!$B$13+PARÁMETROS!$B$11+PARÁMETROS!$B$12)*12*(1+PARÁMETROS!$B$14)^(A26-1))</f>
        <v>142645.57613904</v>
      </c>
      <c r="K26" s="23" t="n">
        <f aca="false">IF($A26&gt;$B$11,"",G26-I26-J26)</f>
        <v>8767.0139986946</v>
      </c>
      <c r="L26" s="23" t="n">
        <f aca="false">IF($A26&gt;$B$11,"",PARÁMETROS!$B$15*12*(1+PARÁMETROS!$B$10)^A26)</f>
        <v>25987.96247554</v>
      </c>
      <c r="M26" s="25" t="n">
        <f aca="false">IF($A26&gt;$B$11,"",G26*PARÁMETROS!$B$16/L26)</f>
        <v>0.337648094334762</v>
      </c>
      <c r="N26" s="23" t="n">
        <f aca="false">IF($A26&gt;$B$11,"",N25*(1+DECISIONES!$B$9)+(PARÁMETROS!$B$11+DECISIONES!$B$6+IF(DECISIONES!$B$8="Sí",DECISIONES!$B$7,0))*12*(1+PARÁMETROS!$B$14)^(A26-1)-IF(A26=DECISIONES!$B$14,DECISIONES!$B$15,0)-IF(AND(A26&gt;DECISIONES!$B$14,A26&lt;=DECISIONES!$B$14+DECISIONES!$B$18),DECISIONES!$B$17*12,0)+IF(A26&gt;DECISIONES!$B$14,DECISIONES!$B$19*12*(1+PARÁMETROS!$B$10)^A26,0))</f>
        <v>-72327.5136608083</v>
      </c>
      <c r="O26" s="23" t="n">
        <f aca="false">IF($A26&gt;$B$11,"",V26+N26+F26)</f>
        <v>147042.136476926</v>
      </c>
      <c r="P26" s="23" t="n">
        <f aca="false">IF($A26&gt;$B$11,"",(PARÁMETROS!$B$15-DECISIONES!$B$7)*12*(1+PARÁMETROS!$B$10)^A26-IF(A26&gt;DECISIONES!$B$14,DECISIONES!$B$19*12*(1+PARÁMETROS!$B$10)^A26,0))</f>
        <v>12604.6785659671</v>
      </c>
      <c r="Q26" s="25" t="n">
        <f aca="false">IF($A26&gt;$B$11,"",O26*PARÁMETROS!$B$16/P26)</f>
        <v>0.466627167705629</v>
      </c>
      <c r="R26" s="23" t="n">
        <f aca="false">IF($A26&gt;$B$11,"",SUMPRODUCT(INMUEBLES!$D$5:$D$9,(1+INMUEBLES!$G$5:$G$9)^A26))</f>
        <v>0</v>
      </c>
      <c r="S26" s="23" t="n">
        <f aca="false">IF($A26&gt;$B$11,"",R26-VIVIENDA!$B$5*(1+PARÁMETROS!$B$19)^A26*VIVIENDA!$B$6+IF(AND(DECISIONES!$B$10="Sí",A26&gt;=DECISIONES!$B$14),VIVIENDA!$B$5*(1+PARÁMETROS!$B$19)^A26-IF(A26-DECISIONES!$B$14&gt;=DECISIONES!$B$18,0,MAX(0,FV(VIVIENDA!$B$11/12,(A26-DECISIONES!$B$14)*12,DECISIONES!$B$17,-DECISIONES!$B$16))),VIVIENDA!$B$5*(1+PARÁMETROS!$B$19)^A26*VIVIENDA!$B$6))</f>
        <v>187361.302685186</v>
      </c>
      <c r="T26" s="23" t="n">
        <f aca="false">IF($A26&gt;$B$11,"",G26+R26)</f>
        <v>219369.650137735</v>
      </c>
      <c r="U26" s="23" t="n">
        <f aca="false">IF($A26&gt;$B$11,"",O26+S26)</f>
        <v>334403.439162112</v>
      </c>
      <c r="V26" s="23" t="n">
        <f aca="false">IF($A26&gt;$B$11,"",D26-DECISIONES!$B$5*(1+PARÁMETROS!$B$9)^A26)</f>
        <v>219369.650137735</v>
      </c>
    </row>
    <row r="27" customFormat="false" ht="15" hidden="false" customHeight="false" outlineLevel="0" collapsed="false">
      <c r="A27" s="86" t="n">
        <v>12</v>
      </c>
      <c r="B27" s="26" t="n">
        <f aca="false">IF($A27&gt;$B$11,"",PARÁMETROS!$B$4+A27)</f>
        <v>53</v>
      </c>
      <c r="C27" s="26" t="n">
        <f aca="false">IF($A27&gt;$B$11,"",PARÁMETROS!$B$6+A27)</f>
        <v>2038</v>
      </c>
      <c r="D27" s="23" t="n">
        <f aca="false">IF($A27&gt;$B$11,"",D26*(1+PARÁMETROS!$B$9)+PARÁMETROS!$B$13*12*(1+PARÁMETROS!$B$14)^(A27-1))</f>
        <v>235255.475114027</v>
      </c>
      <c r="E27" s="23" t="n">
        <f aca="false">IF($A27&gt;$B$11,"",E26*(1+PARÁMETROS!$B$7)+PARÁMETROS!$B$11*12*(1+PARÁMETROS!$B$14)^(A27-1))</f>
        <v>0</v>
      </c>
      <c r="F27" s="23" t="n">
        <f aca="false">IF($A27&gt;$B$11,"",F26*(1+PARÁMETROS!$B$8)+PARÁMETROS!$B$12*12*(1+PARÁMETROS!$B$14)^(A27-1))</f>
        <v>0</v>
      </c>
      <c r="G27" s="23" t="n">
        <f aca="false">IF($A27&gt;$B$11,"",D27+E27+F27)</f>
        <v>235255.475114027</v>
      </c>
      <c r="H27" s="23" t="n">
        <f aca="false">IF($A27&gt;$B$11,"",G27/(1+PARÁMETROS!$B$10)^A27)</f>
        <v>174925.593010165</v>
      </c>
      <c r="I27" s="23" t="n">
        <f aca="false">IF($A27&gt;$B$11,"",$G$15)</f>
        <v>67957.06</v>
      </c>
      <c r="J27" s="23" t="n">
        <f aca="false">IF($A27&gt;$B$11,"",J26+(PARÁMETROS!$B$13+PARÁMETROS!$B$11+PARÁMETROS!$B$12)*12*(1+PARÁMETROS!$B$14)^(A27-1))</f>
        <v>157220.807661821</v>
      </c>
      <c r="K27" s="23" t="n">
        <f aca="false">IF($A27&gt;$B$11,"",G27-I27-J27)</f>
        <v>10077.6074522066</v>
      </c>
      <c r="L27" s="23" t="n">
        <f aca="false">IF($A27&gt;$B$11,"",PARÁMETROS!$B$15*12*(1+PARÁMETROS!$B$10)^A27)</f>
        <v>26637.6615374285</v>
      </c>
      <c r="M27" s="25" t="n">
        <f aca="false">IF($A27&gt;$B$11,"",G27*PARÁMETROS!$B$16/L27)</f>
        <v>0.35326745898242</v>
      </c>
      <c r="N27" s="23" t="n">
        <f aca="false">IF($A27&gt;$B$11,"",N26*(1+DECISIONES!$B$9)+(PARÁMETROS!$B$11+DECISIONES!$B$6+IF(DECISIONES!$B$8="Sí",DECISIONES!$B$7,0))*12*(1+PARÁMETROS!$B$14)^(A27-1)-IF(A27=DECISIONES!$B$14,DECISIONES!$B$15,0)-IF(AND(A27&gt;DECISIONES!$B$14,A27&lt;=DECISIONES!$B$14+DECISIONES!$B$18),DECISIONES!$B$17*12,0)+IF(A27&gt;DECISIONES!$B$14,DECISIONES!$B$19*12*(1+PARÁMETROS!$B$10)^A27,0))</f>
        <v>-72418.9069619186</v>
      </c>
      <c r="O27" s="23" t="n">
        <f aca="false">IF($A27&gt;$B$11,"",V27+N27+F27)</f>
        <v>162836.568152109</v>
      </c>
      <c r="P27" s="23" t="n">
        <f aca="false">IF($A27&gt;$B$11,"",(PARÁMETROS!$B$15-DECISIONES!$B$7)*12*(1+PARÁMETROS!$B$10)^A27-IF(A27&gt;DECISIONES!$B$14,DECISIONES!$B$19*12*(1+PARÁMETROS!$B$10)^A27,0))</f>
        <v>12919.7955301162</v>
      </c>
      <c r="Q27" s="25" t="n">
        <f aca="false">IF($A27&gt;$B$11,"",O27*PARÁMETROS!$B$16/P27)</f>
        <v>0.504145960429589</v>
      </c>
      <c r="R27" s="23" t="n">
        <f aca="false">IF($A27&gt;$B$11,"",SUMPRODUCT(INMUEBLES!$D$5:$D$9,(1+INMUEBLES!$G$5:$G$9)^A27))</f>
        <v>0</v>
      </c>
      <c r="S27" s="23" t="n">
        <f aca="false">IF($A27&gt;$B$11,"",R27-VIVIENDA!$B$5*(1+PARÁMETROS!$B$19)^A27*VIVIENDA!$B$6+IF(AND(DECISIONES!$B$10="Sí",A27&gt;=DECISIONES!$B$14),VIVIENDA!$B$5*(1+PARÁMETROS!$B$19)^A27-IF(A27-DECISIONES!$B$14&gt;=DECISIONES!$B$18,0,MAX(0,FV(VIVIENDA!$B$11/12,(A27-DECISIONES!$B$14)*12,DECISIONES!$B$17,-DECISIONES!$B$16))),VIVIENDA!$B$5*(1+PARÁMETROS!$B$19)^A27*VIVIENDA!$B$6))</f>
        <v>203383.243259771</v>
      </c>
      <c r="T27" s="23" t="n">
        <f aca="false">IF($A27&gt;$B$11,"",G27+R27)</f>
        <v>235255.475114027</v>
      </c>
      <c r="U27" s="23" t="n">
        <f aca="false">IF($A27&gt;$B$11,"",O27+S27)</f>
        <v>366219.81141188</v>
      </c>
      <c r="V27" s="23" t="n">
        <f aca="false">IF($A27&gt;$B$11,"",D27-DECISIONES!$B$5*(1+PARÁMETROS!$B$9)^A27)</f>
        <v>235255.475114027</v>
      </c>
    </row>
    <row r="28" customFormat="false" ht="15" hidden="false" customHeight="false" outlineLevel="0" collapsed="false">
      <c r="A28" s="86" t="n">
        <v>13</v>
      </c>
      <c r="B28" s="26" t="n">
        <f aca="false">IF($A28&gt;$B$11,"",PARÁMETROS!$B$4+A28)</f>
        <v>54</v>
      </c>
      <c r="C28" s="26" t="n">
        <f aca="false">IF($A28&gt;$B$11,"",PARÁMETROS!$B$6+A28)</f>
        <v>2039</v>
      </c>
      <c r="D28" s="23" t="n">
        <f aca="false">IF($A28&gt;$B$11,"",D27*(1+PARÁMETROS!$B$9)+PARÁMETROS!$B$13*12*(1+PARÁMETROS!$B$14)^(A28-1))</f>
        <v>251527.712371878</v>
      </c>
      <c r="E28" s="23" t="n">
        <f aca="false">IF($A28&gt;$B$11,"",E27*(1+PARÁMETROS!$B$7)+PARÁMETROS!$B$11*12*(1+PARÁMETROS!$B$14)^(A28-1))</f>
        <v>0</v>
      </c>
      <c r="F28" s="23" t="n">
        <f aca="false">IF($A28&gt;$B$11,"",F27*(1+PARÁMETROS!$B$8)+PARÁMETROS!$B$12*12*(1+PARÁMETROS!$B$14)^(A28-1))</f>
        <v>0</v>
      </c>
      <c r="G28" s="23" t="n">
        <f aca="false">IF($A28&gt;$B$11,"",D28+E28+F28)</f>
        <v>251527.712371878</v>
      </c>
      <c r="H28" s="23" t="n">
        <f aca="false">IF($A28&gt;$B$11,"",G28/(1+PARÁMETROS!$B$10)^A28)</f>
        <v>182463.327596189</v>
      </c>
      <c r="I28" s="23" t="n">
        <f aca="false">IF($A28&gt;$B$11,"",$G$15)</f>
        <v>67957.06</v>
      </c>
      <c r="J28" s="23" t="n">
        <f aca="false">IF($A28&gt;$B$11,"",J27+(PARÁMETROS!$B$13+PARÁMETROS!$B$11+PARÁMETROS!$B$12)*12*(1+PARÁMETROS!$B$14)^(A28-1))</f>
        <v>172087.543815057</v>
      </c>
      <c r="K28" s="23" t="n">
        <f aca="false">IF($A28&gt;$B$11,"",G28-I28-J28)</f>
        <v>11483.1085568203</v>
      </c>
      <c r="L28" s="23" t="n">
        <f aca="false">IF($A28&gt;$B$11,"",PARÁMETROS!$B$15*12*(1+PARÁMETROS!$B$10)^A28)</f>
        <v>27303.6030758642</v>
      </c>
      <c r="M28" s="25" t="n">
        <f aca="false">IF($A28&gt;$B$11,"",G28*PARÁMETROS!$B$16/L28)</f>
        <v>0.368490139082373</v>
      </c>
      <c r="N28" s="23" t="n">
        <f aca="false">IF($A28&gt;$B$11,"",N27*(1+DECISIONES!$B$9)+(PARÁMETROS!$B$11+DECISIONES!$B$6+IF(DECISIONES!$B$8="Sí",DECISIONES!$B$7,0))*12*(1+PARÁMETROS!$B$14)^(A28-1)-IF(A28=DECISIONES!$B$14,DECISIONES!$B$15,0)-IF(AND(A28&gt;DECISIONES!$B$14,A28&lt;=DECISIONES!$B$14+DECISIONES!$B$18),DECISIONES!$B$17*12,0)+IF(A28&gt;DECISIONES!$B$14,DECISIONES!$B$19*12*(1+PARÁMETROS!$B$10)^A28,0))</f>
        <v>-72171.9232779015</v>
      </c>
      <c r="O28" s="23" t="n">
        <f aca="false">IF($A28&gt;$B$11,"",V28+N28+F28)</f>
        <v>179355.789093976</v>
      </c>
      <c r="P28" s="23" t="n">
        <f aca="false">IF($A28&gt;$B$11,"",(PARÁMETROS!$B$15-DECISIONES!$B$7)*12*(1+PARÁMETROS!$B$10)^A28-IF(A28&gt;DECISIONES!$B$14,DECISIONES!$B$19*12*(1+PARÁMETROS!$B$10)^A28,0))</f>
        <v>13242.7904183691</v>
      </c>
      <c r="Q28" s="25" t="n">
        <f aca="false">IF($A28&gt;$B$11,"",O28*PARÁMETROS!$B$16/P28)</f>
        <v>0.541746213381708</v>
      </c>
      <c r="R28" s="23" t="n">
        <f aca="false">IF($A28&gt;$B$11,"",SUMPRODUCT(INMUEBLES!$D$5:$D$9,(1+INMUEBLES!$G$5:$G$9)^A28))</f>
        <v>0</v>
      </c>
      <c r="S28" s="23" t="n">
        <f aca="false">IF($A28&gt;$B$11,"",R28-VIVIENDA!$B$5*(1+PARÁMETROS!$B$19)^A28*VIVIENDA!$B$6+IF(AND(DECISIONES!$B$10="Sí",A28&gt;=DECISIONES!$B$14),VIVIENDA!$B$5*(1+PARÁMETROS!$B$19)^A28-IF(A28-DECISIONES!$B$14&gt;=DECISIONES!$B$18,0,MAX(0,FV(VIVIENDA!$B$11/12,(A28-DECISIONES!$B$14)*12,DECISIONES!$B$17,-DECISIONES!$B$16))),VIVIENDA!$B$5*(1+PARÁMETROS!$B$19)^A28*VIVIENDA!$B$6))</f>
        <v>219881.631817796</v>
      </c>
      <c r="T28" s="23" t="n">
        <f aca="false">IF($A28&gt;$B$11,"",G28+R28)</f>
        <v>251527.712371878</v>
      </c>
      <c r="U28" s="23" t="n">
        <f aca="false">IF($A28&gt;$B$11,"",O28+S28)</f>
        <v>399237.420911772</v>
      </c>
      <c r="V28" s="23" t="n">
        <f aca="false">IF($A28&gt;$B$11,"",D28-DECISIONES!$B$5*(1+PARÁMETROS!$B$9)^A28)</f>
        <v>251527.712371878</v>
      </c>
    </row>
    <row r="29" customFormat="false" ht="15" hidden="false" customHeight="false" outlineLevel="0" collapsed="false">
      <c r="A29" s="86" t="n">
        <v>14</v>
      </c>
      <c r="B29" s="26" t="n">
        <f aca="false">IF($A29&gt;$B$11,"",PARÁMETROS!$B$4+A29)</f>
        <v>55</v>
      </c>
      <c r="C29" s="26" t="n">
        <f aca="false">IF($A29&gt;$B$11,"",PARÁMETROS!$B$6+A29)</f>
        <v>2040</v>
      </c>
      <c r="D29" s="23" t="n">
        <f aca="false">IF($A29&gt;$B$11,"",D28*(1+PARÁMETROS!$B$9)+PARÁMETROS!$B$13*12*(1+PARÁMETROS!$B$14)^(A29-1))</f>
        <v>268194.500570308</v>
      </c>
      <c r="E29" s="23" t="n">
        <f aca="false">IF($A29&gt;$B$11,"",E28*(1+PARÁMETROS!$B$7)+PARÁMETROS!$B$11*12*(1+PARÁMETROS!$B$14)^(A29-1))</f>
        <v>0</v>
      </c>
      <c r="F29" s="23" t="n">
        <f aca="false">IF($A29&gt;$B$11,"",F28*(1+PARÁMETROS!$B$8)+PARÁMETROS!$B$12*12*(1+PARÁMETROS!$B$14)^(A29-1))</f>
        <v>0</v>
      </c>
      <c r="G29" s="23" t="n">
        <f aca="false">IF($A29&gt;$B$11,"",D29+E29+F29)</f>
        <v>268194.500570308</v>
      </c>
      <c r="H29" s="23" t="n">
        <f aca="false">IF($A29&gt;$B$11,"",G29/(1+PARÁMETROS!$B$10)^A29)</f>
        <v>189808.541806867</v>
      </c>
      <c r="I29" s="23" t="n">
        <f aca="false">IF($A29&gt;$B$11,"",$G$15)</f>
        <v>67957.06</v>
      </c>
      <c r="J29" s="23" t="n">
        <f aca="false">IF($A29&gt;$B$11,"",J28+(PARÁMETROS!$B$13+PARÁMETROS!$B$11+PARÁMETROS!$B$12)*12*(1+PARÁMETROS!$B$14)^(A29-1))</f>
        <v>187251.614691358</v>
      </c>
      <c r="K29" s="23" t="n">
        <f aca="false">IF($A29&gt;$B$11,"",G29-I29-J29)</f>
        <v>12985.8258789496</v>
      </c>
      <c r="L29" s="23" t="n">
        <f aca="false">IF($A29&gt;$B$11,"",PARÁMETROS!$B$15*12*(1+PARÁMETROS!$B$10)^A29)</f>
        <v>27986.1931527608</v>
      </c>
      <c r="M29" s="25" t="n">
        <f aca="false">IF($A29&gt;$B$11,"",G29*PARÁMETROS!$B$16/L29)</f>
        <v>0.383324018534977</v>
      </c>
      <c r="N29" s="23" t="n">
        <f aca="false">IF($A29&gt;$B$11,"",N28*(1+DECISIONES!$B$9)+(PARÁMETROS!$B$11+DECISIONES!$B$6+IF(DECISIONES!$B$8="Sí",DECISIONES!$B$7,0))*12*(1+PARÁMETROS!$B$14)^(A29-1)-IF(A29=DECISIONES!$B$14,DECISIONES!$B$15,0)-IF(AND(A29&gt;DECISIONES!$B$14,A29&lt;=DECISIONES!$B$14+DECISIONES!$B$18),DECISIONES!$B$17*12,0)+IF(A29&gt;DECISIONES!$B$14,DECISIONES!$B$19*12*(1+PARÁMETROS!$B$10)^A29,0))</f>
        <v>-71561.0700932463</v>
      </c>
      <c r="O29" s="23" t="n">
        <f aca="false">IF($A29&gt;$B$11,"",V29+N29+F29)</f>
        <v>196633.430477062</v>
      </c>
      <c r="P29" s="23" t="n">
        <f aca="false">IF($A29&gt;$B$11,"",(PARÁMETROS!$B$15-DECISIONES!$B$7)*12*(1+PARÁMETROS!$B$10)^A29-IF(A29&gt;DECISIONES!$B$14,DECISIONES!$B$19*12*(1+PARÁMETROS!$B$10)^A29,0))</f>
        <v>13573.8601788284</v>
      </c>
      <c r="Q29" s="25" t="n">
        <f aca="false">IF($A29&gt;$B$11,"",O29*PARÁMETROS!$B$16/P29)</f>
        <v>0.579447343309924</v>
      </c>
      <c r="R29" s="23" t="n">
        <f aca="false">IF($A29&gt;$B$11,"",SUMPRODUCT(INMUEBLES!$D$5:$D$9,(1+INMUEBLES!$G$5:$G$9)^A29))</f>
        <v>0</v>
      </c>
      <c r="S29" s="23" t="n">
        <f aca="false">IF($A29&gt;$B$11,"",R29-VIVIENDA!$B$5*(1+PARÁMETROS!$B$19)^A29*VIVIENDA!$B$6+IF(AND(DECISIONES!$B$10="Sí",A29&gt;=DECISIONES!$B$14),VIVIENDA!$B$5*(1+PARÁMETROS!$B$19)^A29-IF(A29-DECISIONES!$B$14&gt;=DECISIONES!$B$18,0,MAX(0,FV(VIVIENDA!$B$11/12,(A29-DECISIONES!$B$14)*12,DECISIONES!$B$17,-DECISIONES!$B$16))),VIVIENDA!$B$5*(1+PARÁMETROS!$B$19)^A29*VIVIENDA!$B$6))</f>
        <v>236870.638065969</v>
      </c>
      <c r="T29" s="23" t="n">
        <f aca="false">IF($A29&gt;$B$11,"",G29+R29)</f>
        <v>268194.500570308</v>
      </c>
      <c r="U29" s="23" t="n">
        <f aca="false">IF($A29&gt;$B$11,"",O29+S29)</f>
        <v>433504.068543031</v>
      </c>
      <c r="V29" s="23" t="n">
        <f aca="false">IF($A29&gt;$B$11,"",D29-DECISIONES!$B$5*(1+PARÁMETROS!$B$9)^A29)</f>
        <v>268194.500570308</v>
      </c>
    </row>
    <row r="30" customFormat="false" ht="15" hidden="false" customHeight="false" outlineLevel="0" collapsed="false">
      <c r="A30" s="86" t="n">
        <v>15</v>
      </c>
      <c r="B30" s="26" t="n">
        <f aca="false">IF($A30&gt;$B$11,"",PARÁMETROS!$B$4+A30)</f>
        <v>56</v>
      </c>
      <c r="C30" s="26" t="n">
        <f aca="false">IF($A30&gt;$B$11,"",PARÁMETROS!$B$6+A30)</f>
        <v>2041</v>
      </c>
      <c r="D30" s="23" t="n">
        <f aca="false">IF($A30&gt;$B$11,"",D29*(1+PARÁMETROS!$B$9)+PARÁMETROS!$B$13*12*(1+PARÁMETROS!$B$14)^(A30-1))</f>
        <v>285264.14359348</v>
      </c>
      <c r="E30" s="23" t="n">
        <f aca="false">IF($A30&gt;$B$11,"",E29*(1+PARÁMETROS!$B$7)+PARÁMETROS!$B$11*12*(1+PARÁMETROS!$B$14)^(A30-1))</f>
        <v>0</v>
      </c>
      <c r="F30" s="23" t="n">
        <f aca="false">IF($A30&gt;$B$11,"",F29*(1+PARÁMETROS!$B$8)+PARÁMETROS!$B$12*12*(1+PARÁMETROS!$B$14)^(A30-1))</f>
        <v>0</v>
      </c>
      <c r="G30" s="23" t="n">
        <f aca="false">IF($A30&gt;$B$11,"",D30+E30+F30)</f>
        <v>285264.14359348</v>
      </c>
      <c r="H30" s="23" t="n">
        <f aca="false">IF($A30&gt;$B$11,"",G30/(1+PARÁMETROS!$B$10)^A30)</f>
        <v>196965.065752469</v>
      </c>
      <c r="I30" s="23" t="n">
        <f aca="false">IF($A30&gt;$B$11,"",$G$15)</f>
        <v>67957.06</v>
      </c>
      <c r="J30" s="23" t="n">
        <f aca="false">IF($A30&gt;$B$11,"",J29+(PARÁMETROS!$B$13+PARÁMETROS!$B$11+PARÁMETROS!$B$12)*12*(1+PARÁMETROS!$B$14)^(A30-1))</f>
        <v>202718.966985186</v>
      </c>
      <c r="K30" s="23" t="n">
        <f aca="false">IF($A30&gt;$B$11,"",G30-I30-J30)</f>
        <v>14588.1166082947</v>
      </c>
      <c r="L30" s="23" t="n">
        <f aca="false">IF($A30&gt;$B$11,"",PARÁMETROS!$B$15*12*(1+PARÁMETROS!$B$10)^A30)</f>
        <v>28685.8479815798</v>
      </c>
      <c r="M30" s="25" t="n">
        <f aca="false">IF($A30&gt;$B$11,"",G30*PARÁMETROS!$B$16/L30)</f>
        <v>0.397776832362297</v>
      </c>
      <c r="N30" s="23" t="n">
        <f aca="false">IF($A30&gt;$B$11,"",N29*(1+DECISIONES!$B$9)+(PARÁMETROS!$B$11+DECISIONES!$B$6+IF(DECISIONES!$B$8="Sí",DECISIONES!$B$7,0))*12*(1+PARÁMETROS!$B$14)^(A30-1)-IF(A30=DECISIONES!$B$14,DECISIONES!$B$15,0)-IF(AND(A30&gt;DECISIONES!$B$14,A30&lt;=DECISIONES!$B$14+DECISIONES!$B$18),DECISIONES!$B$17*12,0)+IF(A30&gt;DECISIONES!$B$14,DECISIONES!$B$19*12*(1+PARÁMETROS!$B$10)^A30,0))</f>
        <v>-70559.3659250099</v>
      </c>
      <c r="O30" s="23" t="n">
        <f aca="false">IF($A30&gt;$B$11,"",V30+N30+F30)</f>
        <v>214704.77766847</v>
      </c>
      <c r="P30" s="23" t="n">
        <f aca="false">IF($A30&gt;$B$11,"",(PARÁMETROS!$B$15-DECISIONES!$B$7)*12*(1+PARÁMETROS!$B$10)^A30-IF(A30&gt;DECISIONES!$B$14,DECISIONES!$B$19*12*(1+PARÁMETROS!$B$10)^A30,0))</f>
        <v>13913.2066832991</v>
      </c>
      <c r="Q30" s="25" t="n">
        <f aca="false">IF($A30&gt;$B$11,"",O30*PARÁMETROS!$B$16/P30)</f>
        <v>0.617268995008015</v>
      </c>
      <c r="R30" s="23" t="n">
        <f aca="false">IF($A30&gt;$B$11,"",SUMPRODUCT(INMUEBLES!$D$5:$D$9,(1+INMUEBLES!$G$5:$G$9)^A30))</f>
        <v>0</v>
      </c>
      <c r="S30" s="23" t="n">
        <f aca="false">IF($A30&gt;$B$11,"",R30-VIVIENDA!$B$5*(1+PARÁMETROS!$B$19)^A30*VIVIENDA!$B$6+IF(AND(DECISIONES!$B$10="Sí",A30&gt;=DECISIONES!$B$14),VIVIENDA!$B$5*(1+PARÁMETROS!$B$19)^A30-IF(A30-DECISIONES!$B$14&gt;=DECISIONES!$B$18,0,MAX(0,FV(VIVIENDA!$B$11/12,(A30-DECISIONES!$B$14)*12,DECISIONES!$B$17,-DECISIONES!$B$16))),VIVIENDA!$B$5*(1+PARÁMETROS!$B$19)^A30*VIVIENDA!$B$6))</f>
        <v>254364.853165869</v>
      </c>
      <c r="T30" s="23" t="n">
        <f aca="false">IF($A30&gt;$B$11,"",G30+R30)</f>
        <v>285264.14359348</v>
      </c>
      <c r="U30" s="23" t="n">
        <f aca="false">IF($A30&gt;$B$11,"",O30+S30)</f>
        <v>469069.630834339</v>
      </c>
      <c r="V30" s="23" t="n">
        <f aca="false">IF($A30&gt;$B$11,"",D30-DECISIONES!$B$5*(1+PARÁMETROS!$B$9)^A30)</f>
        <v>285264.14359348</v>
      </c>
    </row>
    <row r="31" customFormat="false" ht="15" hidden="false" customHeight="false" outlineLevel="0" collapsed="false">
      <c r="A31" s="86" t="n">
        <v>16</v>
      </c>
      <c r="B31" s="26" t="n">
        <f aca="false">IF($A31&gt;$B$11,"",PARÁMETROS!$B$4+A31)</f>
        <v>57</v>
      </c>
      <c r="C31" s="26" t="n">
        <f aca="false">IF($A31&gt;$B$11,"",PARÁMETROS!$B$6+A31)</f>
        <v>2042</v>
      </c>
      <c r="D31" s="23" t="n">
        <f aca="false">IF($A31&gt;$B$11,"",D30*(1+PARÁMETROS!$B$9)+PARÁMETROS!$B$13*12*(1+PARÁMETROS!$B$14)^(A31-1))</f>
        <v>302745.113869845</v>
      </c>
      <c r="E31" s="23" t="n">
        <f aca="false">IF($A31&gt;$B$11,"",E30*(1+PARÁMETROS!$B$7)+PARÁMETROS!$B$11*12*(1+PARÁMETROS!$B$14)^(A31-1))</f>
        <v>0</v>
      </c>
      <c r="F31" s="23" t="n">
        <f aca="false">IF($A31&gt;$B$11,"",F30*(1+PARÁMETROS!$B$8)+PARÁMETROS!$B$12*12*(1+PARÁMETROS!$B$14)^(A31-1))</f>
        <v>0</v>
      </c>
      <c r="G31" s="23" t="n">
        <f aca="false">IF($A31&gt;$B$11,"",D31+E31+F31)</f>
        <v>302745.113869845</v>
      </c>
      <c r="H31" s="23" t="n">
        <f aca="false">IF($A31&gt;$B$11,"",G31/(1+PARÁMETROS!$B$10)^A31)</f>
        <v>203936.657198464</v>
      </c>
      <c r="I31" s="23" t="n">
        <f aca="false">IF($A31&gt;$B$11,"",$G$15)</f>
        <v>67957.06</v>
      </c>
      <c r="J31" s="23" t="n">
        <f aca="false">IF($A31&gt;$B$11,"",J30+(PARÁMETROS!$B$13+PARÁMETROS!$B$11+PARÁMETROS!$B$12)*12*(1+PARÁMETROS!$B$14)^(A31-1))</f>
        <v>218495.666324889</v>
      </c>
      <c r="K31" s="23" t="n">
        <f aca="false">IF($A31&gt;$B$11,"",G31-I31-J31)</f>
        <v>16292.3875449561</v>
      </c>
      <c r="L31" s="23" t="n">
        <f aca="false">IF($A31&gt;$B$11,"",PARÁMETROS!$B$15*12*(1+PARÁMETROS!$B$10)^A31)</f>
        <v>29402.9941811193</v>
      </c>
      <c r="M31" s="25" t="n">
        <f aca="false">IF($A31&gt;$B$11,"",G31*PARÁMETROS!$B$16/L31)</f>
        <v>0.411856169483921</v>
      </c>
      <c r="N31" s="23" t="n">
        <f aca="false">IF($A31&gt;$B$11,"",N30*(1+DECISIONES!$B$9)+(PARÁMETROS!$B$11+DECISIONES!$B$6+IF(DECISIONES!$B$8="Sí",DECISIONES!$B$7,0))*12*(1+PARÁMETROS!$B$14)^(A31-1)-IF(A31=DECISIONES!$B$14,DECISIONES!$B$15,0)-IF(AND(A31&gt;DECISIONES!$B$14,A31&lt;=DECISIONES!$B$14+DECISIONES!$B$18),DECISIONES!$B$17*12,0)+IF(A31&gt;DECISIONES!$B$14,DECISIONES!$B$19*12*(1+PARÁMETROS!$B$10)^A31,0))</f>
        <v>-69138.2605159048</v>
      </c>
      <c r="O31" s="23" t="n">
        <f aca="false">IF($A31&gt;$B$11,"",V31+N31+F31)</f>
        <v>233606.853353941</v>
      </c>
      <c r="P31" s="23" t="n">
        <f aca="false">IF($A31&gt;$B$11,"",(PARÁMETROS!$B$15-DECISIONES!$B$7)*12*(1+PARÁMETROS!$B$10)^A31-IF(A31&gt;DECISIONES!$B$14,DECISIONES!$B$19*12*(1+PARÁMETROS!$B$10)^A31,0))</f>
        <v>14261.0368503816</v>
      </c>
      <c r="Q31" s="25" t="n">
        <f aca="false">IF($A31&gt;$B$11,"",O31*PARÁMETROS!$B$16/P31)</f>
        <v>0.655231048919674</v>
      </c>
      <c r="R31" s="23" t="n">
        <f aca="false">IF($A31&gt;$B$11,"",SUMPRODUCT(INMUEBLES!$D$5:$D$9,(1+INMUEBLES!$G$5:$G$9)^A31))</f>
        <v>0</v>
      </c>
      <c r="S31" s="23" t="n">
        <f aca="false">IF($A31&gt;$B$11,"",R31-VIVIENDA!$B$5*(1+PARÁMETROS!$B$19)^A31*VIVIENDA!$B$6+IF(AND(DECISIONES!$B$10="Sí",A31&gt;=DECISIONES!$B$14),VIVIENDA!$B$5*(1+PARÁMETROS!$B$19)^A31-IF(A31-DECISIONES!$B$14&gt;=DECISIONES!$B$18,0,MAX(0,FV(VIVIENDA!$B$11/12,(A31-DECISIONES!$B$14)*12,DECISIONES!$B$17,-DECISIONES!$B$16))),VIVIENDA!$B$5*(1+PARÁMETROS!$B$19)^A31*VIVIENDA!$B$6))</f>
        <v>272379.302270724</v>
      </c>
      <c r="T31" s="23" t="n">
        <f aca="false">IF($A31&gt;$B$11,"",G31+R31)</f>
        <v>302745.113869845</v>
      </c>
      <c r="U31" s="23" t="n">
        <f aca="false">IF($A31&gt;$B$11,"",O31+S31)</f>
        <v>505986.155624665</v>
      </c>
      <c r="V31" s="23" t="n">
        <f aca="false">IF($A31&gt;$B$11,"",D31-DECISIONES!$B$5*(1+PARÁMETROS!$B$9)^A31)</f>
        <v>302745.113869845</v>
      </c>
    </row>
    <row r="32" customFormat="false" ht="15" hidden="false" customHeight="false" outlineLevel="0" collapsed="false">
      <c r="A32" s="86" t="n">
        <v>17</v>
      </c>
      <c r="B32" s="26" t="n">
        <f aca="false">IF($A32&gt;$B$11,"",PARÁMETROS!$B$4+A32)</f>
        <v>58</v>
      </c>
      <c r="C32" s="26" t="n">
        <f aca="false">IF($A32&gt;$B$11,"",PARÁMETROS!$B$6+A32)</f>
        <v>2043</v>
      </c>
      <c r="D32" s="23" t="n">
        <f aca="false">IF($A32&gt;$B$11,"",D31*(1+PARÁMETROS!$B$9)+PARÁMETROS!$B$13*12*(1+PARÁMETROS!$B$14)^(A32-1))</f>
        <v>320646.055757767</v>
      </c>
      <c r="E32" s="23" t="n">
        <f aca="false">IF($A32&gt;$B$11,"",E31*(1+PARÁMETROS!$B$7)+PARÁMETROS!$B$11*12*(1+PARÁMETROS!$B$14)^(A32-1))</f>
        <v>0</v>
      </c>
      <c r="F32" s="23" t="n">
        <f aca="false">IF($A32&gt;$B$11,"",F31*(1+PARÁMETROS!$B$8)+PARÁMETROS!$B$12*12*(1+PARÁMETROS!$B$14)^(A32-1))</f>
        <v>0</v>
      </c>
      <c r="G32" s="23" t="n">
        <f aca="false">IF($A32&gt;$B$11,"",D32+E32+F32)</f>
        <v>320646.055757767</v>
      </c>
      <c r="H32" s="23" t="n">
        <f aca="false">IF($A32&gt;$B$11,"",G32/(1+PARÁMETROS!$B$10)^A32)</f>
        <v>210727.002914466</v>
      </c>
      <c r="I32" s="23" t="n">
        <f aca="false">IF($A32&gt;$B$11,"",$G$15)</f>
        <v>67957.06</v>
      </c>
      <c r="J32" s="23" t="n">
        <f aca="false">IF($A32&gt;$B$11,"",J31+(PARÁMETROS!$B$13+PARÁMETROS!$B$11+PARÁMETROS!$B$12)*12*(1+PARÁMETROS!$B$14)^(A32-1))</f>
        <v>234587.899651387</v>
      </c>
      <c r="K32" s="23" t="n">
        <f aca="false">IF($A32&gt;$B$11,"",G32-I32-J32)</f>
        <v>18101.0961063794</v>
      </c>
      <c r="L32" s="23" t="n">
        <f aca="false">IF($A32&gt;$B$11,"",PARÁMETROS!$B$15*12*(1+PARÁMETROS!$B$10)^A32)</f>
        <v>30138.0690356473</v>
      </c>
      <c r="M32" s="25" t="n">
        <f aca="false">IF($A32&gt;$B$11,"",G32*PARÁMETROS!$B$16/L32)</f>
        <v>0.425569475441186</v>
      </c>
      <c r="N32" s="23" t="n">
        <f aca="false">IF($A32&gt;$B$11,"",N31*(1+DECISIONES!$B$9)+(PARÁMETROS!$B$11+DECISIONES!$B$6+IF(DECISIONES!$B$8="Sí",DECISIONES!$B$7,0))*12*(1+PARÁMETROS!$B$14)^(A32-1)-IF(A32=DECISIONES!$B$14,DECISIONES!$B$15,0)-IF(AND(A32&gt;DECISIONES!$B$14,A32&lt;=DECISIONES!$B$14+DECISIONES!$B$18),DECISIONES!$B$17*12,0)+IF(A32&gt;DECISIONES!$B$14,DECISIONES!$B$19*12*(1+PARÁMETROS!$B$10)^A32,0))</f>
        <v>-67267.5509030759</v>
      </c>
      <c r="O32" s="23" t="n">
        <f aca="false">IF($A32&gt;$B$11,"",V32+N32+F32)</f>
        <v>253378.504854691</v>
      </c>
      <c r="P32" s="23" t="n">
        <f aca="false">IF($A32&gt;$B$11,"",(PARÁMETROS!$B$15-DECISIONES!$B$7)*12*(1+PARÁMETROS!$B$10)^A32-IF(A32&gt;DECISIONES!$B$14,DECISIONES!$B$19*12*(1+PARÁMETROS!$B$10)^A32,0))</f>
        <v>14617.5627716411</v>
      </c>
      <c r="Q32" s="25" t="n">
        <f aca="false">IF($A32&gt;$B$11,"",O32*PARÁMETROS!$B$16/P32)</f>
        <v>0.693353628954505</v>
      </c>
      <c r="R32" s="23" t="n">
        <f aca="false">IF($A32&gt;$B$11,"",SUMPRODUCT(INMUEBLES!$D$5:$D$9,(1+INMUEBLES!$G$5:$G$9)^A32))</f>
        <v>0</v>
      </c>
      <c r="S32" s="23" t="n">
        <f aca="false">IF($A32&gt;$B$11,"",R32-VIVIENDA!$B$5*(1+PARÁMETROS!$B$19)^A32*VIVIENDA!$B$6+IF(AND(DECISIONES!$B$10="Sí",A32&gt;=DECISIONES!$B$14),VIVIENDA!$B$5*(1+PARÁMETROS!$B$19)^A32-IF(A32-DECISIONES!$B$14&gt;=DECISIONES!$B$18,0,MAX(0,FV(VIVIENDA!$B$11/12,(A32-DECISIONES!$B$14)*12,DECISIONES!$B$17,-DECISIONES!$B$16))),VIVIENDA!$B$5*(1+PARÁMETROS!$B$19)^A32*VIVIENDA!$B$6))</f>
        <v>290929.457435155</v>
      </c>
      <c r="T32" s="23" t="n">
        <f aca="false">IF($A32&gt;$B$11,"",G32+R32)</f>
        <v>320646.055757767</v>
      </c>
      <c r="U32" s="23" t="n">
        <f aca="false">IF($A32&gt;$B$11,"",O32+S32)</f>
        <v>544307.962289846</v>
      </c>
      <c r="V32" s="23" t="n">
        <f aca="false">IF($A32&gt;$B$11,"",D32-DECISIONES!$B$5*(1+PARÁMETROS!$B$9)^A32)</f>
        <v>320646.055757767</v>
      </c>
    </row>
    <row r="33" customFormat="false" ht="15" hidden="false" customHeight="false" outlineLevel="0" collapsed="false">
      <c r="A33" s="86" t="n">
        <v>18</v>
      </c>
      <c r="B33" s="26" t="n">
        <f aca="false">IF($A33&gt;$B$11,"",PARÁMETROS!$B$4+A33)</f>
        <v>59</v>
      </c>
      <c r="C33" s="26" t="n">
        <f aca="false">IF($A33&gt;$B$11,"",PARÁMETROS!$B$6+A33)</f>
        <v>2044</v>
      </c>
      <c r="D33" s="23" t="n">
        <f aca="false">IF($A33&gt;$B$11,"",D32*(1+PARÁMETROS!$B$9)+PARÁMETROS!$B$13*12*(1+PARÁMETROS!$B$14)^(A33-1))</f>
        <v>338975.788998942</v>
      </c>
      <c r="E33" s="23" t="n">
        <f aca="false">IF($A33&gt;$B$11,"",E32*(1+PARÁMETROS!$B$7)+PARÁMETROS!$B$11*12*(1+PARÁMETROS!$B$14)^(A33-1))</f>
        <v>0</v>
      </c>
      <c r="F33" s="23" t="n">
        <f aca="false">IF($A33&gt;$B$11,"",F32*(1+PARÁMETROS!$B$8)+PARÁMETROS!$B$12*12*(1+PARÁMETROS!$B$14)^(A33-1))</f>
        <v>0</v>
      </c>
      <c r="G33" s="23" t="n">
        <f aca="false">IF($A33&gt;$B$11,"",D33+E33+F33)</f>
        <v>338975.788998942</v>
      </c>
      <c r="H33" s="23" t="n">
        <f aca="false">IF($A33&gt;$B$11,"",G33/(1+PARÁMETROS!$B$10)^A33)</f>
        <v>217339.719998109</v>
      </c>
      <c r="I33" s="23" t="n">
        <f aca="false">IF($A33&gt;$B$11,"",$G$15)</f>
        <v>67957.06</v>
      </c>
      <c r="J33" s="23" t="n">
        <f aca="false">IF($A33&gt;$B$11,"",J32+(PARÁMETROS!$B$13+PARÁMETROS!$B$11+PARÁMETROS!$B$12)*12*(1+PARÁMETROS!$B$14)^(A33-1))</f>
        <v>251001.977644415</v>
      </c>
      <c r="K33" s="23" t="n">
        <f aca="false">IF($A33&gt;$B$11,"",G33-I33-J33)</f>
        <v>20016.7513545266</v>
      </c>
      <c r="L33" s="23" t="n">
        <f aca="false">IF($A33&gt;$B$11,"",PARÁMETROS!$B$15*12*(1+PARÁMETROS!$B$10)^A33)</f>
        <v>30891.5207615384</v>
      </c>
      <c r="M33" s="25" t="n">
        <f aca="false">IF($A33&gt;$B$11,"",G33*PARÁMETROS!$B$16/L33)</f>
        <v>0.438924055070781</v>
      </c>
      <c r="N33" s="23" t="n">
        <f aca="false">IF($A33&gt;$B$11,"",N32*(1+DECISIONES!$B$9)+(PARÁMETROS!$B$11+DECISIONES!$B$6+IF(DECISIONES!$B$8="Sí",DECISIONES!$B$7,0))*12*(1+PARÁMETROS!$B$14)^(A33-1)-IF(A33=DECISIONES!$B$14,DECISIONES!$B$15,0)-IF(AND(A33&gt;DECISIONES!$B$14,A33&lt;=DECISIONES!$B$14+DECISIONES!$B$18),DECISIONES!$B$17*12,0)+IF(A33&gt;DECISIONES!$B$14,DECISIONES!$B$19*12*(1+PARÁMETROS!$B$10)^A33,0))</f>
        <v>-64915.2931530054</v>
      </c>
      <c r="O33" s="23" t="n">
        <f aca="false">IF($A33&gt;$B$11,"",V33+N33+F33)</f>
        <v>274060.495845936</v>
      </c>
      <c r="P33" s="23" t="n">
        <f aca="false">IF($A33&gt;$B$11,"",(PARÁMETROS!$B$15-DECISIONES!$B$7)*12*(1+PARÁMETROS!$B$10)^A33-IF(A33&gt;DECISIONES!$B$14,DECISIONES!$B$19*12*(1+PARÁMETROS!$B$10)^A33,0))</f>
        <v>14983.0018409321</v>
      </c>
      <c r="Q33" s="25" t="n">
        <f aca="false">IF($A33&gt;$B$11,"",O33*PARÁMETROS!$B$16/P33)</f>
        <v>0.731657110519013</v>
      </c>
      <c r="R33" s="23" t="n">
        <f aca="false">IF($A33&gt;$B$11,"",SUMPRODUCT(INMUEBLES!$D$5:$D$9,(1+INMUEBLES!$G$5:$G$9)^A33))</f>
        <v>0</v>
      </c>
      <c r="S33" s="23" t="n">
        <f aca="false">IF($A33&gt;$B$11,"",R33-VIVIENDA!$B$5*(1+PARÁMETROS!$B$19)^A33*VIVIENDA!$B$6+IF(AND(DECISIONES!$B$10="Sí",A33&gt;=DECISIONES!$B$14),VIVIENDA!$B$5*(1+PARÁMETROS!$B$19)^A33-IF(A33-DECISIONES!$B$14&gt;=DECISIONES!$B$18,0,MAX(0,FV(VIVIENDA!$B$11/12,(A33-DECISIONES!$B$14)*12,DECISIONES!$B$17,-DECISIONES!$B$16))),VIVIENDA!$B$5*(1+PARÁMETROS!$B$19)^A33*VIVIENDA!$B$6))</f>
        <v>310031.250908976</v>
      </c>
      <c r="T33" s="23" t="n">
        <f aca="false">IF($A33&gt;$B$11,"",G33+R33)</f>
        <v>338975.788998942</v>
      </c>
      <c r="U33" s="23" t="n">
        <f aca="false">IF($A33&gt;$B$11,"",O33+S33)</f>
        <v>584091.746754912</v>
      </c>
      <c r="V33" s="23" t="n">
        <f aca="false">IF($A33&gt;$B$11,"",D33-DECISIONES!$B$5*(1+PARÁMETROS!$B$9)^A33)</f>
        <v>338975.788998942</v>
      </c>
    </row>
    <row r="34" customFormat="false" ht="15" hidden="false" customHeight="false" outlineLevel="0" collapsed="false">
      <c r="A34" s="86" t="n">
        <v>19</v>
      </c>
      <c r="B34" s="26" t="n">
        <f aca="false">IF($A34&gt;$B$11,"",PARÁMETROS!$B$4+A34)</f>
        <v>60</v>
      </c>
      <c r="C34" s="26" t="n">
        <f aca="false">IF($A34&gt;$B$11,"",PARÁMETROS!$B$6+A34)</f>
        <v>2045</v>
      </c>
      <c r="D34" s="23" t="n">
        <f aca="false">IF($A34&gt;$B$11,"",D33*(1+PARÁMETROS!$B$9)+PARÁMETROS!$B$13*12*(1+PARÁMETROS!$B$14)^(A34-1))</f>
        <v>357743.312240983</v>
      </c>
      <c r="E34" s="23" t="n">
        <f aca="false">IF($A34&gt;$B$11,"",E33*(1+PARÁMETROS!$B$7)+PARÁMETROS!$B$11*12*(1+PARÁMETROS!$B$14)^(A34-1))</f>
        <v>0</v>
      </c>
      <c r="F34" s="23" t="n">
        <f aca="false">IF($A34&gt;$B$11,"",F33*(1+PARÁMETROS!$B$8)+PARÁMETROS!$B$12*12*(1+PARÁMETROS!$B$14)^(A34-1))</f>
        <v>0</v>
      </c>
      <c r="G34" s="23" t="n">
        <f aca="false">IF($A34&gt;$B$11,"",D34+E34+F34)</f>
        <v>357743.312240983</v>
      </c>
      <c r="H34" s="23" t="n">
        <f aca="false">IF($A34&gt;$B$11,"",G34/(1+PARÁMETROS!$B$10)^A34)</f>
        <v>223778.357174314</v>
      </c>
      <c r="I34" s="23" t="n">
        <f aca="false">IF($A34&gt;$B$11,"",$G$15)</f>
        <v>67957.06</v>
      </c>
      <c r="J34" s="23" t="n">
        <f aca="false">IF($A34&gt;$B$11,"",J33+(PARÁMETROS!$B$13+PARÁMETROS!$B$11+PARÁMETROS!$B$12)*12*(1+PARÁMETROS!$B$14)^(A34-1))</f>
        <v>267744.337197303</v>
      </c>
      <c r="K34" s="23" t="n">
        <f aca="false">IF($A34&gt;$B$11,"",G34-I34-J34)</f>
        <v>22041.9150436794</v>
      </c>
      <c r="L34" s="23" t="n">
        <f aca="false">IF($A34&gt;$B$11,"",PARÁMETROS!$B$15*12*(1+PARÁMETROS!$B$10)^A34)</f>
        <v>31663.8087805769</v>
      </c>
      <c r="M34" s="25" t="n">
        <f aca="false">IF($A34&gt;$B$11,"",G34*PARÁMETROS!$B$16/L34)</f>
        <v>0.45192707512866</v>
      </c>
      <c r="N34" s="23" t="n">
        <f aca="false">IF($A34&gt;$B$11,"",N33*(1+DECISIONES!$B$9)+(PARÁMETROS!$B$11+DECISIONES!$B$6+IF(DECISIONES!$B$8="Sí",DECISIONES!$B$7,0))*12*(1+PARÁMETROS!$B$14)^(A34-1)-IF(A34=DECISIONES!$B$14,DECISIONES!$B$15,0)-IF(AND(A34&gt;DECISIONES!$B$14,A34&lt;=DECISIONES!$B$14+DECISIONES!$B$18),DECISIONES!$B$17*12,0)+IF(A34&gt;DECISIONES!$B$14,DECISIONES!$B$19*12*(1+PARÁMETROS!$B$10)^A34,0))</f>
        <v>-62047.7095424163</v>
      </c>
      <c r="O34" s="23" t="n">
        <f aca="false">IF($A34&gt;$B$11,"",V34+N34+F34)</f>
        <v>295695.602698566</v>
      </c>
      <c r="P34" s="23" t="n">
        <f aca="false">IF($A34&gt;$B$11,"",(PARÁMETROS!$B$15-DECISIONES!$B$7)*12*(1+PARÁMETROS!$B$10)^A34-IF(A34&gt;DECISIONES!$B$14,DECISIONES!$B$19*12*(1+PARÁMETROS!$B$10)^A34,0))</f>
        <v>15357.5768869554</v>
      </c>
      <c r="Q34" s="25" t="n">
        <f aca="false">IF($A34&gt;$B$11,"",O34*PARÁMETROS!$B$16/P34)</f>
        <v>0.77016212876584</v>
      </c>
      <c r="R34" s="23" t="n">
        <f aca="false">IF($A34&gt;$B$11,"",SUMPRODUCT(INMUEBLES!$D$5:$D$9,(1+INMUEBLES!$G$5:$G$9)^A34))</f>
        <v>0</v>
      </c>
      <c r="S34" s="23" t="n">
        <f aca="false">IF($A34&gt;$B$11,"",R34-VIVIENDA!$B$5*(1+PARÁMETROS!$B$19)^A34*VIVIENDA!$B$6+IF(AND(DECISIONES!$B$10="Sí",A34&gt;=DECISIONES!$B$14),VIVIENDA!$B$5*(1+PARÁMETROS!$B$19)^A34-IF(A34-DECISIONES!$B$14&gt;=DECISIONES!$B$18,0,MAX(0,FV(VIVIENDA!$B$11/12,(A34-DECISIONES!$B$14)*12,DECISIONES!$B$17,-DECISIONES!$B$16))),VIVIENDA!$B$5*(1+PARÁMETROS!$B$19)^A34*VIVIENDA!$B$6))</f>
        <v>329701.088826481</v>
      </c>
      <c r="T34" s="23" t="n">
        <f aca="false">IF($A34&gt;$B$11,"",G34+R34)</f>
        <v>357743.312240983</v>
      </c>
      <c r="U34" s="23" t="n">
        <f aca="false">IF($A34&gt;$B$11,"",O34+S34)</f>
        <v>625396.691525048</v>
      </c>
      <c r="V34" s="23" t="n">
        <f aca="false">IF($A34&gt;$B$11,"",D34-DECISIONES!$B$5*(1+PARÁMETROS!$B$9)^A34)</f>
        <v>357743.312240983</v>
      </c>
    </row>
    <row r="35" customFormat="false" ht="15" hidden="false" customHeight="false" outlineLevel="0" collapsed="false">
      <c r="A35" s="86" t="n">
        <v>20</v>
      </c>
      <c r="B35" s="26" t="n">
        <f aca="false">IF($A35&gt;$B$11,"",PARÁMETROS!$B$4+A35)</f>
        <v>61</v>
      </c>
      <c r="C35" s="26" t="n">
        <f aca="false">IF($A35&gt;$B$11,"",PARÁMETROS!$B$6+A35)</f>
        <v>2046</v>
      </c>
      <c r="D35" s="23" t="n">
        <f aca="false">IF($A35&gt;$B$11,"",D34*(1+PARÁMETROS!$B$9)+PARÁMETROS!$B$13*12*(1+PARÁMETROS!$B$14)^(A35-1))</f>
        <v>376957.806630537</v>
      </c>
      <c r="E35" s="23" t="n">
        <f aca="false">IF($A35&gt;$B$11,"",E34*(1+PARÁMETROS!$B$7)+PARÁMETROS!$B$11*12*(1+PARÁMETROS!$B$14)^(A35-1))</f>
        <v>0</v>
      </c>
      <c r="F35" s="23" t="n">
        <f aca="false">IF($A35&gt;$B$11,"",F34*(1+PARÁMETROS!$B$8)+PARÁMETROS!$B$12*12*(1+PARÁMETROS!$B$14)^(A35-1))</f>
        <v>0</v>
      </c>
      <c r="G35" s="23" t="n">
        <f aca="false">IF($A35&gt;$B$11,"",D35+E35+F35)</f>
        <v>376957.806630537</v>
      </c>
      <c r="H35" s="23" t="n">
        <f aca="false">IF($A35&gt;$B$11,"",G35/(1+PARÁMETROS!$B$10)^A35)</f>
        <v>230046.396070414</v>
      </c>
      <c r="I35" s="23" t="n">
        <f aca="false">IF($A35&gt;$B$11,"",$G$15)</f>
        <v>67957.06</v>
      </c>
      <c r="J35" s="23" t="n">
        <f aca="false">IF($A35&gt;$B$11,"",J34+(PARÁMETROS!$B$13+PARÁMETROS!$B$11+PARÁMETROS!$B$12)*12*(1+PARÁMETROS!$B$14)^(A35-1))</f>
        <v>284821.543941249</v>
      </c>
      <c r="K35" s="23" t="n">
        <f aca="false">IF($A35&gt;$B$11,"",G35-I35-J35)</f>
        <v>24179.2026892874</v>
      </c>
      <c r="L35" s="23" t="n">
        <f aca="false">IF($A35&gt;$B$11,"",PARÁMETROS!$B$15*12*(1+PARÁMETROS!$B$10)^A35)</f>
        <v>32455.4040000913</v>
      </c>
      <c r="M35" s="25" t="n">
        <f aca="false">IF($A35&gt;$B$11,"",G35*PARÁMETROS!$B$16/L35)</f>
        <v>0.464585566865199</v>
      </c>
      <c r="N35" s="23" t="n">
        <f aca="false">IF($A35&gt;$B$11,"",N34*(1+DECISIONES!$B$9)+(PARÁMETROS!$B$11+DECISIONES!$B$6+IF(DECISIONES!$B$8="Sí",DECISIONES!$B$7,0))*12*(1+PARÁMETROS!$B$14)^(A35-1)-IF(A35=DECISIONES!$B$14,DECISIONES!$B$15,0)-IF(AND(A35&gt;DECISIONES!$B$14,A35&lt;=DECISIONES!$B$14+DECISIONES!$B$18),DECISIONES!$B$17*12,0)+IF(A35&gt;DECISIONES!$B$14,DECISIONES!$B$19*12*(1+PARÁMETROS!$B$10)^A35,0))</f>
        <v>-58629.0909539571</v>
      </c>
      <c r="O35" s="23" t="n">
        <f aca="false">IF($A35&gt;$B$11,"",V35+N35+F35)</f>
        <v>318328.715676579</v>
      </c>
      <c r="P35" s="23" t="n">
        <f aca="false">IF($A35&gt;$B$11,"",(PARÁMETROS!$B$15-DECISIONES!$B$7)*12*(1+PARÁMETROS!$B$10)^A35-IF(A35&gt;DECISIONES!$B$14,DECISIONES!$B$19*12*(1+PARÁMETROS!$B$10)^A35,0))</f>
        <v>15741.5163091293</v>
      </c>
      <c r="Q35" s="25" t="n">
        <f aca="false">IF($A35&gt;$B$11,"",O35*PARÁMETROS!$B$16/P35)</f>
        <v>0.808889587064658</v>
      </c>
      <c r="R35" s="23" t="n">
        <f aca="false">IF($A35&gt;$B$11,"",SUMPRODUCT(INMUEBLES!$D$5:$D$9,(1+INMUEBLES!$G$5:$G$9)^A35))</f>
        <v>0</v>
      </c>
      <c r="S35" s="23" t="n">
        <f aca="false">IF($A35&gt;$B$11,"",R35-VIVIENDA!$B$5*(1+PARÁMETROS!$B$19)^A35*VIVIENDA!$B$6+IF(AND(DECISIONES!$B$10="Sí",A35&gt;=DECISIONES!$B$14),VIVIENDA!$B$5*(1+PARÁMETROS!$B$19)^A35-IF(A35-DECISIONES!$B$14&gt;=DECISIONES!$B$18,0,MAX(0,FV(VIVIENDA!$B$11/12,(A35-DECISIONES!$B$14)*12,DECISIONES!$B$17,-DECISIONES!$B$16))),VIVIENDA!$B$5*(1+PARÁMETROS!$B$19)^A35*VIVIENDA!$B$6))</f>
        <v>349955.865302987</v>
      </c>
      <c r="T35" s="23" t="n">
        <f aca="false">IF($A35&gt;$B$11,"",G35+R35)</f>
        <v>376957.806630537</v>
      </c>
      <c r="U35" s="23" t="n">
        <f aca="false">IF($A35&gt;$B$11,"",O35+S35)</f>
        <v>668284.580979566</v>
      </c>
      <c r="V35" s="23" t="n">
        <f aca="false">IF($A35&gt;$B$11,"",D35-DECISIONES!$B$5*(1+PARÁMETROS!$B$9)^A35)</f>
        <v>376957.806630537</v>
      </c>
    </row>
    <row r="36" customFormat="false" ht="15" hidden="false" customHeight="false" outlineLevel="0" collapsed="false">
      <c r="A36" s="86" t="n">
        <v>21</v>
      </c>
      <c r="B36" s="26" t="n">
        <f aca="false">IF($A36&gt;$B$11,"",PARÁMETROS!$B$4+A36)</f>
        <v>62</v>
      </c>
      <c r="C36" s="26" t="n">
        <f aca="false">IF($A36&gt;$B$11,"",PARÁMETROS!$B$6+A36)</f>
        <v>2047</v>
      </c>
      <c r="D36" s="23" t="n">
        <f aca="false">IF($A36&gt;$B$11,"",D35*(1+PARÁMETROS!$B$9)+PARÁMETROS!$B$13*12*(1+PARÁMETROS!$B$14)^(A36-1))</f>
        <v>396628.639478358</v>
      </c>
      <c r="E36" s="23" t="n">
        <f aca="false">IF($A36&gt;$B$11,"",E35*(1+PARÁMETROS!$B$7)+PARÁMETROS!$B$11*12*(1+PARÁMETROS!$B$14)^(A36-1))</f>
        <v>0</v>
      </c>
      <c r="F36" s="23" t="n">
        <f aca="false">IF($A36&gt;$B$11,"",F35*(1+PARÁMETROS!$B$8)+PARÁMETROS!$B$12*12*(1+PARÁMETROS!$B$14)^(A36-1))</f>
        <v>0</v>
      </c>
      <c r="G36" s="23" t="n">
        <f aca="false">IF($A36&gt;$B$11,"",D36+E36+F36)</f>
        <v>396628.639478358</v>
      </c>
      <c r="H36" s="23" t="n">
        <f aca="false">IF($A36&gt;$B$11,"",G36/(1+PARÁMETROS!$B$10)^A36)</f>
        <v>236147.252467583</v>
      </c>
      <c r="I36" s="23" t="n">
        <f aca="false">IF($A36&gt;$B$11,"",$G$15)</f>
        <v>67957.06</v>
      </c>
      <c r="J36" s="23" t="n">
        <f aca="false">IF($A36&gt;$B$11,"",J35+(PARÁMETROS!$B$13+PARÁMETROS!$B$11+PARÁMETROS!$B$12)*12*(1+PARÁMETROS!$B$14)^(A36-1))</f>
        <v>302240.294820074</v>
      </c>
      <c r="K36" s="23" t="n">
        <f aca="false">IF($A36&gt;$B$11,"",G36-I36-J36)</f>
        <v>26431.2846582837</v>
      </c>
      <c r="L36" s="23" t="n">
        <f aca="false">IF($A36&gt;$B$11,"",PARÁMETROS!$B$15*12*(1+PARÁMETROS!$B$10)^A36)</f>
        <v>33266.7891000936</v>
      </c>
      <c r="M36" s="25" t="n">
        <f aca="false">IF($A36&gt;$B$11,"",G36*PARÁMETROS!$B$16/L36)</f>
        <v>0.476906428552483</v>
      </c>
      <c r="N36" s="23" t="n">
        <f aca="false">IF($A36&gt;$B$11,"",N35*(1+DECISIONES!$B$9)+(PARÁMETROS!$B$11+DECISIONES!$B$6+IF(DECISIONES!$B$8="Sí",DECISIONES!$B$7,0))*12*(1+PARÁMETROS!$B$14)^(A36-1)-IF(A36=DECISIONES!$B$14,DECISIONES!$B$15,0)-IF(AND(A36&gt;DECISIONES!$B$14,A36&lt;=DECISIONES!$B$14+DECISIONES!$B$18),DECISIONES!$B$17*12,0)+IF(A36&gt;DECISIONES!$B$14,DECISIONES!$B$19*12*(1+PARÁMETROS!$B$10)^A36,0))</f>
        <v>-54621.694243801</v>
      </c>
      <c r="O36" s="23" t="n">
        <f aca="false">IF($A36&gt;$B$11,"",V36+N36+F36)</f>
        <v>342006.945234557</v>
      </c>
      <c r="P36" s="23" t="n">
        <f aca="false">IF($A36&gt;$B$11,"",(PARÁMETROS!$B$15-DECISIONES!$B$7)*12*(1+PARÁMETROS!$B$10)^A36-IF(A36&gt;DECISIONES!$B$14,DECISIONES!$B$19*12*(1+PARÁMETROS!$B$10)^A36,0))</f>
        <v>16135.0542168575</v>
      </c>
      <c r="Q36" s="25" t="n">
        <f aca="false">IF($A36&gt;$B$11,"",O36*PARÁMETROS!$B$16/P36)</f>
        <v>0.847860665698256</v>
      </c>
      <c r="R36" s="23" t="n">
        <f aca="false">IF($A36&gt;$B$11,"",SUMPRODUCT(INMUEBLES!$D$5:$D$9,(1+INMUEBLES!$G$5:$G$9)^A36))</f>
        <v>0</v>
      </c>
      <c r="S36" s="23" t="n">
        <f aca="false">IF($A36&gt;$B$11,"",R36-VIVIENDA!$B$5*(1+PARÁMETROS!$B$19)^A36*VIVIENDA!$B$6+IF(AND(DECISIONES!$B$10="Sí",A36&gt;=DECISIONES!$B$14),VIVIENDA!$B$5*(1+PARÁMETROS!$B$19)^A36-IF(A36-DECISIONES!$B$14&gt;=DECISIONES!$B$18,0,MAX(0,FV(VIVIENDA!$B$11/12,(A36-DECISIONES!$B$14)*12,DECISIONES!$B$17,-DECISIONES!$B$16))),VIVIENDA!$B$5*(1+PARÁMETROS!$B$19)^A36*VIVIENDA!$B$6))</f>
        <v>370812.97695074</v>
      </c>
      <c r="T36" s="23" t="n">
        <f aca="false">IF($A36&gt;$B$11,"",G36+R36)</f>
        <v>396628.639478358</v>
      </c>
      <c r="U36" s="23" t="n">
        <f aca="false">IF($A36&gt;$B$11,"",O36+S36)</f>
        <v>712819.922185297</v>
      </c>
      <c r="V36" s="23" t="n">
        <f aca="false">IF($A36&gt;$B$11,"",D36-DECISIONES!$B$5*(1+PARÁMETROS!$B$9)^A36)</f>
        <v>396628.639478358</v>
      </c>
    </row>
    <row r="37" customFormat="false" ht="15" hidden="false" customHeight="false" outlineLevel="0" collapsed="false">
      <c r="A37" s="86" t="n">
        <v>22</v>
      </c>
      <c r="B37" s="26" t="n">
        <f aca="false">IF($A37&gt;$B$11,"",PARÁMETROS!$B$4+A37)</f>
        <v>63</v>
      </c>
      <c r="C37" s="26" t="n">
        <f aca="false">IF($A37&gt;$B$11,"",PARÁMETROS!$B$6+A37)</f>
        <v>2048</v>
      </c>
      <c r="D37" s="23" t="n">
        <f aca="false">IF($A37&gt;$B$11,"",D36*(1+PARÁMETROS!$B$9)+PARÁMETROS!$B$13*12*(1+PARÁMETROS!$B$14)^(A37-1))</f>
        <v>416765.367997772</v>
      </c>
      <c r="E37" s="23" t="n">
        <f aca="false">IF($A37&gt;$B$11,"",E36*(1+PARÁMETROS!$B$7)+PARÁMETROS!$B$11*12*(1+PARÁMETROS!$B$14)^(A37-1))</f>
        <v>0</v>
      </c>
      <c r="F37" s="23" t="n">
        <f aca="false">IF($A37&gt;$B$11,"",F36*(1+PARÁMETROS!$B$8)+PARÁMETROS!$B$12*12*(1+PARÁMETROS!$B$14)^(A37-1))</f>
        <v>0</v>
      </c>
      <c r="G37" s="23" t="n">
        <f aca="false">IF($A37&gt;$B$11,"",D37+E37+F37)</f>
        <v>416765.367997772</v>
      </c>
      <c r="H37" s="23" t="n">
        <f aca="false">IF($A37&gt;$B$11,"",G37/(1+PARÁMETROS!$B$10)^A37)</f>
        <v>242084.277529002</v>
      </c>
      <c r="I37" s="23" t="n">
        <f aca="false">IF($A37&gt;$B$11,"",$G$15)</f>
        <v>67957.06</v>
      </c>
      <c r="J37" s="23" t="n">
        <f aca="false">IF($A37&gt;$B$11,"",J36+(PARÁMETROS!$B$13+PARÁMETROS!$B$11+PARÁMETROS!$B$12)*12*(1+PARÁMETROS!$B$14)^(A37-1))</f>
        <v>320007.420716476</v>
      </c>
      <c r="K37" s="23" t="n">
        <f aca="false">IF($A37&gt;$B$11,"",G37-I37-J37)</f>
        <v>28800.8872812961</v>
      </c>
      <c r="L37" s="23" t="n">
        <f aca="false">IF($A37&gt;$B$11,"",PARÁMETROS!$B$15*12*(1+PARÁMETROS!$B$10)^A37)</f>
        <v>34098.4588275959</v>
      </c>
      <c r="M37" s="25" t="n">
        <f aca="false">IF($A37&gt;$B$11,"",G37*PARÁMETROS!$B$16/L37)</f>
        <v>0.488896427964636</v>
      </c>
      <c r="N37" s="23" t="n">
        <f aca="false">IF($A37&gt;$B$11,"",N36*(1+DECISIONES!$B$9)+(PARÁMETROS!$B$11+DECISIONES!$B$6+IF(DECISIONES!$B$8="Sí",DECISIONES!$B$7,0))*12*(1+PARÁMETROS!$B$14)^(A37-1)-IF(A37=DECISIONES!$B$14,DECISIONES!$B$15,0)-IF(AND(A37&gt;DECISIONES!$B$14,A37&lt;=DECISIONES!$B$14+DECISIONES!$B$18),DECISIONES!$B$17*12,0)+IF(A37&gt;DECISIONES!$B$14,DECISIONES!$B$19*12*(1+PARÁMETROS!$B$10)^A37,0))</f>
        <v>-49985.6343260561</v>
      </c>
      <c r="O37" s="23" t="n">
        <f aca="false">IF($A37&gt;$B$11,"",V37+N37+F37)</f>
        <v>366779.733671716</v>
      </c>
      <c r="P37" s="23" t="n">
        <f aca="false">IF($A37&gt;$B$11,"",(PARÁMETROS!$B$15-DECISIONES!$B$7)*12*(1+PARÁMETROS!$B$10)^A37-IF(A37&gt;DECISIONES!$B$14,DECISIONES!$B$19*12*(1+PARÁMETROS!$B$10)^A37,0))</f>
        <v>16538.430572279</v>
      </c>
      <c r="Q37" s="25" t="n">
        <f aca="false">IF($A37&gt;$B$11,"",O37*PARÁMETROS!$B$16/P37)</f>
        <v>0.887096830787552</v>
      </c>
      <c r="R37" s="23" t="n">
        <f aca="false">IF($A37&gt;$B$11,"",SUMPRODUCT(INMUEBLES!$D$5:$D$9,(1+INMUEBLES!$G$5:$G$9)^A37))</f>
        <v>0</v>
      </c>
      <c r="S37" s="23" t="n">
        <f aca="false">IF($A37&gt;$B$11,"",R37-VIVIENDA!$B$5*(1+PARÁMETROS!$B$19)^A37*VIVIENDA!$B$6+IF(AND(DECISIONES!$B$10="Sí",A37&gt;=DECISIONES!$B$14),VIVIENDA!$B$5*(1+PARÁMETROS!$B$19)^A37-IF(A37-DECISIONES!$B$14&gt;=DECISIONES!$B$18,0,MAX(0,FV(VIVIENDA!$B$11/12,(A37-DECISIONES!$B$14)*12,DECISIONES!$B$17,-DECISIONES!$B$16))),VIVIENDA!$B$5*(1+PARÁMETROS!$B$19)^A37*VIVIENDA!$B$6))</f>
        <v>392290.337826677</v>
      </c>
      <c r="T37" s="23" t="n">
        <f aca="false">IF($A37&gt;$B$11,"",G37+R37)</f>
        <v>416765.367997772</v>
      </c>
      <c r="U37" s="23" t="n">
        <f aca="false">IF($A37&gt;$B$11,"",O37+S37)</f>
        <v>759070.071498393</v>
      </c>
      <c r="V37" s="23" t="n">
        <f aca="false">IF($A37&gt;$B$11,"",D37-DECISIONES!$B$5*(1+PARÁMETROS!$B$9)^A37)</f>
        <v>416765.367997772</v>
      </c>
    </row>
    <row r="38" customFormat="false" ht="15" hidden="false" customHeight="false" outlineLevel="0" collapsed="false">
      <c r="A38" s="86" t="n">
        <v>23</v>
      </c>
      <c r="B38" s="26" t="n">
        <f aca="false">IF($A38&gt;$B$11,"",PARÁMETROS!$B$4+A38)</f>
        <v>64</v>
      </c>
      <c r="C38" s="26" t="n">
        <f aca="false">IF($A38&gt;$B$11,"",PARÁMETROS!$B$6+A38)</f>
        <v>2049</v>
      </c>
      <c r="D38" s="23" t="n">
        <f aca="false">IF($A38&gt;$B$11,"",D37*(1+PARÁMETROS!$B$9)+PARÁMETROS!$B$13*12*(1+PARÁMETROS!$B$14)^(A38-1))</f>
        <v>437377.743117999</v>
      </c>
      <c r="E38" s="23" t="n">
        <f aca="false">IF($A38&gt;$B$11,"",E37*(1+PARÁMETROS!$B$7)+PARÁMETROS!$B$11*12*(1+PARÁMETROS!$B$14)^(A38-1))</f>
        <v>0</v>
      </c>
      <c r="F38" s="23" t="n">
        <f aca="false">IF($A38&gt;$B$11,"",F37*(1+PARÁMETROS!$B$8)+PARÁMETROS!$B$12*12*(1+PARÁMETROS!$B$14)^(A38-1))</f>
        <v>0</v>
      </c>
      <c r="G38" s="23" t="n">
        <f aca="false">IF($A38&gt;$B$11,"",D38+E38+F38)</f>
        <v>437377.743117999</v>
      </c>
      <c r="H38" s="23" t="n">
        <f aca="false">IF($A38&gt;$B$11,"",G38/(1+PARÁMETROS!$B$10)^A38)</f>
        <v>247860.759005204</v>
      </c>
      <c r="I38" s="23" t="n">
        <f aca="false">IF($A38&gt;$B$11,"",$G$15)</f>
        <v>67957.06</v>
      </c>
      <c r="J38" s="23" t="n">
        <f aca="false">IF($A38&gt;$B$11,"",J37+(PARÁMETROS!$B$13+PARÁMETROS!$B$11+PARÁMETROS!$B$12)*12*(1+PARÁMETROS!$B$14)^(A38-1))</f>
        <v>338129.889130805</v>
      </c>
      <c r="K38" s="23" t="n">
        <f aca="false">IF($A38&gt;$B$11,"",G38-I38-J38)</f>
        <v>31290.7939871939</v>
      </c>
      <c r="L38" s="23" t="n">
        <f aca="false">IF($A38&gt;$B$11,"",PARÁMETROS!$B$15*12*(1+PARÁMETROS!$B$10)^A38)</f>
        <v>34950.9202982858</v>
      </c>
      <c r="M38" s="25" t="n">
        <f aca="false">IF($A38&gt;$B$11,"",G38*PARÁMETROS!$B$16/L38)</f>
        <v>0.500562204812044</v>
      </c>
      <c r="N38" s="23" t="n">
        <f aca="false">IF($A38&gt;$B$11,"",N37*(1+DECISIONES!$B$9)+(PARÁMETROS!$B$11+DECISIONES!$B$6+IF(DECISIONES!$B$8="Sí",DECISIONES!$B$7,0))*12*(1+PARÁMETROS!$B$14)^(A38-1)-IF(A38=DECISIONES!$B$14,DECISIONES!$B$15,0)-IF(AND(A38&gt;DECISIONES!$B$14,A38&lt;=DECISIONES!$B$14+DECISIONES!$B$18),DECISIONES!$B$17*12,0)+IF(A38&gt;DECISIONES!$B$14,DECISIONES!$B$19*12*(1+PARÁMETROS!$B$10)^A38,0))</f>
        <v>-44678.7707060411</v>
      </c>
      <c r="O38" s="23" t="n">
        <f aca="false">IF($A38&gt;$B$11,"",V38+N38+F38)</f>
        <v>392698.972411958</v>
      </c>
      <c r="P38" s="23" t="n">
        <f aca="false">IF($A38&gt;$B$11,"",(PARÁMETROS!$B$15-DECISIONES!$B$7)*12*(1+PARÁMETROS!$B$10)^A38-IF(A38&gt;DECISIONES!$B$14,DECISIONES!$B$19*12*(1+PARÁMETROS!$B$10)^A38,0))</f>
        <v>16951.8913365859</v>
      </c>
      <c r="Q38" s="25" t="n">
        <f aca="false">IF($A38&gt;$B$11,"",O38*PARÁMETROS!$B$16/P38)</f>
        <v>0.926619843449389</v>
      </c>
      <c r="R38" s="23" t="n">
        <f aca="false">IF($A38&gt;$B$11,"",SUMPRODUCT(INMUEBLES!$D$5:$D$9,(1+INMUEBLES!$G$5:$G$9)^A38))</f>
        <v>0</v>
      </c>
      <c r="S38" s="23" t="n">
        <f aca="false">IF($A38&gt;$B$11,"",R38-VIVIENDA!$B$5*(1+PARÁMETROS!$B$19)^A38*VIVIENDA!$B$6+IF(AND(DECISIONES!$B$10="Sí",A38&gt;=DECISIONES!$B$14),VIVIENDA!$B$5*(1+PARÁMETROS!$B$19)^A38-IF(A38-DECISIONES!$B$14&gt;=DECISIONES!$B$18,0,MAX(0,FV(VIVIENDA!$B$11/12,(A38-DECISIONES!$B$14)*12,DECISIONES!$B$17,-DECISIONES!$B$16))),VIVIENDA!$B$5*(1+PARÁMETROS!$B$19)^A38*VIVIENDA!$B$6))</f>
        <v>414406.394824879</v>
      </c>
      <c r="T38" s="23" t="n">
        <f aca="false">IF($A38&gt;$B$11,"",G38+R38)</f>
        <v>437377.743117999</v>
      </c>
      <c r="U38" s="23" t="n">
        <f aca="false">IF($A38&gt;$B$11,"",O38+S38)</f>
        <v>807105.367236837</v>
      </c>
      <c r="V38" s="23" t="n">
        <f aca="false">IF($A38&gt;$B$11,"",D38-DECISIONES!$B$5*(1+PARÁMETROS!$B$9)^A38)</f>
        <v>437377.743117999</v>
      </c>
    </row>
    <row r="39" customFormat="false" ht="15" hidden="false" customHeight="false" outlineLevel="0" collapsed="false">
      <c r="A39" s="86" t="n">
        <v>24</v>
      </c>
      <c r="B39" s="26" t="n">
        <f aca="false">IF($A39&gt;$B$11,"",PARÁMETROS!$B$4+A39)</f>
        <v>65</v>
      </c>
      <c r="C39" s="26" t="n">
        <f aca="false">IF($A39&gt;$B$11,"",PARÁMETROS!$B$6+A39)</f>
        <v>2050</v>
      </c>
      <c r="D39" s="23" t="n">
        <f aca="false">IF($A39&gt;$B$11,"",D38*(1+PARÁMETROS!$B$9)+PARÁMETROS!$B$13*12*(1+PARÁMETROS!$B$14)^(A39-1))</f>
        <v>458475.713373837</v>
      </c>
      <c r="E39" s="23" t="n">
        <f aca="false">IF($A39&gt;$B$11,"",E38*(1+PARÁMETROS!$B$7)+PARÁMETROS!$B$11*12*(1+PARÁMETROS!$B$14)^(A39-1))</f>
        <v>0</v>
      </c>
      <c r="F39" s="23" t="n">
        <f aca="false">IF($A39&gt;$B$11,"",F38*(1+PARÁMETROS!$B$8)+PARÁMETROS!$B$12*12*(1+PARÁMETROS!$B$14)^(A39-1))</f>
        <v>0</v>
      </c>
      <c r="G39" s="23" t="n">
        <f aca="false">IF($A39&gt;$B$11,"",D39+E39+F39)</f>
        <v>458475.713373837</v>
      </c>
      <c r="H39" s="23" t="n">
        <f aca="false">IF($A39&gt;$B$11,"",G39/(1+PARÁMETROS!$B$10)^A39)</f>
        <v>253479.922417016</v>
      </c>
      <c r="I39" s="23" t="n">
        <f aca="false">IF($A39&gt;$B$11,"",$G$15)</f>
        <v>67957.06</v>
      </c>
      <c r="J39" s="23" t="n">
        <f aca="false">IF($A39&gt;$B$11,"",J38+(PARÁMETROS!$B$13+PARÁMETROS!$B$11+PARÁMETROS!$B$12)*12*(1+PARÁMETROS!$B$14)^(A39-1))</f>
        <v>356614.806913421</v>
      </c>
      <c r="K39" s="23" t="n">
        <f aca="false">IF($A39&gt;$B$11,"",G39-I39-J39)</f>
        <v>33903.8464604161</v>
      </c>
      <c r="L39" s="23" t="n">
        <f aca="false">IF($A39&gt;$B$11,"",PARÁMETROS!$B$15*12*(1+PARÁMETROS!$B$10)^A39)</f>
        <v>35824.693305743</v>
      </c>
      <c r="M39" s="25" t="n">
        <f aca="false">IF($A39&gt;$B$11,"",G39*PARÁMETROS!$B$16/L39)</f>
        <v>0.511910273130338</v>
      </c>
      <c r="N39" s="23" t="n">
        <f aca="false">IF($A39&gt;$B$11,"",N38*(1+DECISIONES!$B$9)+(PARÁMETROS!$B$11+DECISIONES!$B$6+IF(DECISIONES!$B$8="Sí",DECISIONES!$B$7,0))*12*(1+PARÁMETROS!$B$14)^(A39-1)-IF(A39=DECISIONES!$B$14,DECISIONES!$B$15,0)-IF(AND(A39&gt;DECISIONES!$B$14,A39&lt;=DECISIONES!$B$14+DECISIONES!$B$18),DECISIONES!$B$17*12,0)+IF(A39&gt;DECISIONES!$B$14,DECISIONES!$B$19*12*(1+PARÁMETROS!$B$10)^A39,0))</f>
        <v>-38656.5881809828</v>
      </c>
      <c r="O39" s="23" t="n">
        <f aca="false">IF($A39&gt;$B$11,"",V39+N39+F39)</f>
        <v>419819.125192855</v>
      </c>
      <c r="P39" s="23" t="n">
        <f aca="false">IF($A39&gt;$B$11,"",(PARÁMETROS!$B$15-DECISIONES!$B$7)*12*(1+PARÁMETROS!$B$10)^A39-IF(A39&gt;DECISIONES!$B$14,DECISIONES!$B$19*12*(1+PARÁMETROS!$B$10)^A39,0))</f>
        <v>17375.6886200006</v>
      </c>
      <c r="Q39" s="25" t="n">
        <f aca="false">IF($A39&gt;$B$11,"",O39*PARÁMETROS!$B$16/P39)</f>
        <v>0.966451769191155</v>
      </c>
      <c r="R39" s="23" t="n">
        <f aca="false">IF($A39&gt;$B$11,"",SUMPRODUCT(INMUEBLES!$D$5:$D$9,(1+INMUEBLES!$G$5:$G$9)^A39))</f>
        <v>0</v>
      </c>
      <c r="S39" s="23" t="n">
        <f aca="false">IF($A39&gt;$B$11,"",R39-VIVIENDA!$B$5*(1+PARÁMETROS!$B$19)^A39*VIVIENDA!$B$6+IF(AND(DECISIONES!$B$10="Sí",A39&gt;=DECISIONES!$B$14),VIVIENDA!$B$5*(1+PARÁMETROS!$B$19)^A39-IF(A39-DECISIONES!$B$14&gt;=DECISIONES!$B$18,0,MAX(0,FV(VIVIENDA!$B$11/12,(A39-DECISIONES!$B$14)*12,DECISIONES!$B$17,-DECISIONES!$B$16))),VIVIENDA!$B$5*(1+PARÁMETROS!$B$19)^A39*VIVIENDA!$B$6))</f>
        <v>437180.143526945</v>
      </c>
      <c r="T39" s="23" t="n">
        <f aca="false">IF($A39&gt;$B$11,"",G39+R39)</f>
        <v>458475.713373837</v>
      </c>
      <c r="U39" s="23" t="n">
        <f aca="false">IF($A39&gt;$B$11,"",O39+S39)</f>
        <v>856999.2687198</v>
      </c>
      <c r="V39" s="23" t="n">
        <f aca="false">IF($A39&gt;$B$11,"",D39-DECISIONES!$B$5*(1+PARÁMETROS!$B$9)^A39)</f>
        <v>458475.713373837</v>
      </c>
    </row>
    <row r="40" customFormat="false" ht="15" hidden="false" customHeight="false" outlineLevel="0" collapsed="false">
      <c r="A40" s="86" t="n">
        <v>25</v>
      </c>
      <c r="B40" s="26" t="n">
        <f aca="false">IF($A40&gt;$B$11,"",PARÁMETROS!$B$4+A40)</f>
        <v>66</v>
      </c>
      <c r="C40" s="26" t="n">
        <f aca="false">IF($A40&gt;$B$11,"",PARÁMETROS!$B$6+A40)</f>
        <v>2051</v>
      </c>
      <c r="D40" s="23" t="n">
        <f aca="false">IF($A40&gt;$B$11,"",D39*(1+PARÁMETROS!$B$9)+PARÁMETROS!$B$13*12*(1+PARÁMETROS!$B$14)^(A40-1))</f>
        <v>480069.428873229</v>
      </c>
      <c r="E40" s="23" t="n">
        <f aca="false">IF($A40&gt;$B$11,"",E39*(1+PARÁMETROS!$B$7)+PARÁMETROS!$B$11*12*(1+PARÁMETROS!$B$14)^(A40-1))</f>
        <v>0</v>
      </c>
      <c r="F40" s="23" t="n">
        <f aca="false">IF($A40&gt;$B$11,"",F39*(1+PARÁMETROS!$B$8)+PARÁMETROS!$B$12*12*(1+PARÁMETROS!$B$14)^(A40-1))</f>
        <v>0</v>
      </c>
      <c r="G40" s="23" t="n">
        <f aca="false">IF($A40&gt;$B$11,"",D40+E40+F40)</f>
        <v>480069.428873229</v>
      </c>
      <c r="H40" s="23" t="n">
        <f aca="false">IF($A40&gt;$B$11,"",G40/(1+PARÁMETROS!$B$10)^A40)</f>
        <v>258944.93221651</v>
      </c>
      <c r="I40" s="23" t="n">
        <f aca="false">IF($A40&gt;$B$11,"",$G$15)</f>
        <v>67957.06</v>
      </c>
      <c r="J40" s="23" t="n">
        <f aca="false">IF($A40&gt;$B$11,"",J39+(PARÁMETROS!$B$13+PARÁMETROS!$B$11+PARÁMETROS!$B$12)*12*(1+PARÁMETROS!$B$14)^(A40-1))</f>
        <v>375469.42305169</v>
      </c>
      <c r="K40" s="23" t="n">
        <f aca="false">IF($A40&gt;$B$11,"",G40-I40-J40)</f>
        <v>36642.9458215389</v>
      </c>
      <c r="L40" s="23" t="n">
        <f aca="false">IF($A40&gt;$B$11,"",PARÁMETROS!$B$15*12*(1+PARÁMETROS!$B$10)^A40)</f>
        <v>36720.3106383865</v>
      </c>
      <c r="M40" s="25" t="n">
        <f aca="false">IF($A40&gt;$B$11,"",G40*PARÁMETROS!$B$16/L40)</f>
        <v>0.522947023624986</v>
      </c>
      <c r="N40" s="23" t="n">
        <f aca="false">IF($A40&gt;$B$11,"",N39*(1+DECISIONES!$B$9)+(PARÁMETROS!$B$11+DECISIONES!$B$6+IF(DECISIONES!$B$8="Sí",DECISIONES!$B$7,0))*12*(1+PARÁMETROS!$B$14)^(A40-1)-IF(A40=DECISIONES!$B$14,DECISIONES!$B$15,0)-IF(AND(A40&gt;DECISIONES!$B$14,A40&lt;=DECISIONES!$B$14+DECISIONES!$B$18),DECISIONES!$B$17*12,0)+IF(A40&gt;DECISIONES!$B$14,DECISIONES!$B$19*12*(1+PARÁMETROS!$B$10)^A40,0))</f>
        <v>-31872.0714125281</v>
      </c>
      <c r="O40" s="23" t="n">
        <f aca="false">IF($A40&gt;$B$11,"",V40+N40+F40)</f>
        <v>448197.357460701</v>
      </c>
      <c r="P40" s="23" t="n">
        <f aca="false">IF($A40&gt;$B$11,"",(PARÁMETROS!$B$15-DECISIONES!$B$7)*12*(1+PARÁMETROS!$B$10)^A40-IF(A40&gt;DECISIONES!$B$14,DECISIONES!$B$19*12*(1+PARÁMETROS!$B$10)^A40,0))</f>
        <v>17810.0808355006</v>
      </c>
      <c r="Q40" s="25" t="n">
        <f aca="false">IF($A40&gt;$B$11,"",O40*PARÁMETROS!$B$16/P40)</f>
        <v>1.00661498754641</v>
      </c>
      <c r="R40" s="23" t="n">
        <f aca="false">IF($A40&gt;$B$11,"",SUMPRODUCT(INMUEBLES!$D$5:$D$9,(1+INMUEBLES!$G$5:$G$9)^A40))</f>
        <v>0</v>
      </c>
      <c r="S40" s="23" t="n">
        <f aca="false">IF($A40&gt;$B$11,"",R40-VIVIENDA!$B$5*(1+PARÁMETROS!$B$19)^A40*VIVIENDA!$B$6+IF(AND(DECISIONES!$B$10="Sí",A40&gt;=DECISIONES!$B$14),VIVIENDA!$B$5*(1+PARÁMETROS!$B$19)^A40-IF(A40-DECISIONES!$B$14&gt;=DECISIONES!$B$18,0,MAX(0,FV(VIVIENDA!$B$11/12,(A40-DECISIONES!$B$14)*12,DECISIONES!$B$17,-DECISIONES!$B$16))),VIVIENDA!$B$5*(1+PARÁMETROS!$B$19)^A40*VIVIENDA!$B$6))</f>
        <v>460631.144523928</v>
      </c>
      <c r="T40" s="23" t="n">
        <f aca="false">IF($A40&gt;$B$11,"",G40+R40)</f>
        <v>480069.428873229</v>
      </c>
      <c r="U40" s="23" t="n">
        <f aca="false">IF($A40&gt;$B$11,"",O40+S40)</f>
        <v>908828.501984628</v>
      </c>
      <c r="V40" s="23" t="n">
        <f aca="false">IF($A40&gt;$B$11,"",D40-DECISIONES!$B$5*(1+PARÁMETROS!$B$9)^A40)</f>
        <v>480069.428873229</v>
      </c>
    </row>
    <row r="41" customFormat="false" ht="15" hidden="false" customHeight="false" outlineLevel="0" collapsed="false">
      <c r="A41" s="86" t="n">
        <v>26</v>
      </c>
      <c r="B41" s="26" t="n">
        <f aca="false">IF($A41&gt;$B$11,"",PARÁMETROS!$B$4+A41)</f>
        <v>67</v>
      </c>
      <c r="C41" s="26" t="n">
        <f aca="false">IF($A41&gt;$B$11,"",PARÁMETROS!$B$6+A41)</f>
        <v>2052</v>
      </c>
      <c r="D41" s="23" t="n">
        <f aca="false">IF($A41&gt;$B$11,"",D40*(1+PARÁMETROS!$B$9)+PARÁMETROS!$B$13*12*(1+PARÁMETROS!$B$14)^(A41-1))</f>
        <v>502169.24534427</v>
      </c>
      <c r="E41" s="23" t="n">
        <f aca="false">IF($A41&gt;$B$11,"",E40*(1+PARÁMETROS!$B$7)+PARÁMETROS!$B$11*12*(1+PARÁMETROS!$B$14)^(A41-1))</f>
        <v>0</v>
      </c>
      <c r="F41" s="23" t="n">
        <f aca="false">IF($A41&gt;$B$11,"",F40*(1+PARÁMETROS!$B$8)+PARÁMETROS!$B$12*12*(1+PARÁMETROS!$B$14)^(A41-1))</f>
        <v>0</v>
      </c>
      <c r="G41" s="23" t="n">
        <f aca="false">IF($A41&gt;$B$11,"",D41+E41+F41)</f>
        <v>502169.24534427</v>
      </c>
      <c r="H41" s="23" t="n">
        <f aca="false">IF($A41&gt;$B$11,"",G41/(1+PARÁMETROS!$B$10)^A41)</f>
        <v>264258.892926386</v>
      </c>
      <c r="I41" s="23" t="n">
        <f aca="false">IF($A41&gt;$B$11,"",$G$15)</f>
        <v>67957.06</v>
      </c>
      <c r="J41" s="23" t="n">
        <f aca="false">IF($A41&gt;$B$11,"",J40+(PARÁMETROS!$B$13+PARÁMETROS!$B$11+PARÁMETROS!$B$12)*12*(1+PARÁMETROS!$B$14)^(A41-1))</f>
        <v>394701.131512724</v>
      </c>
      <c r="K41" s="23" t="n">
        <f aca="false">IF($A41&gt;$B$11,"",G41-I41-J41)</f>
        <v>39511.053831546</v>
      </c>
      <c r="L41" s="23" t="n">
        <f aca="false">IF($A41&gt;$B$11,"",PARÁMETROS!$B$15*12*(1+PARÁMETROS!$B$10)^A41)</f>
        <v>37638.3184043462</v>
      </c>
      <c r="M41" s="25" t="n">
        <f aca="false">IF($A41&gt;$B$11,"",G41*PARÁMETROS!$B$16/L41)</f>
        <v>0.533678725972287</v>
      </c>
      <c r="N41" s="23" t="n">
        <f aca="false">IF($A41&gt;$B$11,"",N40*(1+DECISIONES!$B$9)+(PARÁMETROS!$B$11+DECISIONES!$B$6+IF(DECISIONES!$B$8="Sí",DECISIONES!$B$7,0))*12*(1+PARÁMETROS!$B$14)^(A41-1)-IF(A41=DECISIONES!$B$14,DECISIONES!$B$15,0)-IF(AND(A41&gt;DECISIONES!$B$14,A41&lt;=DECISIONES!$B$14+DECISIONES!$B$18),DECISIONES!$B$17*12,0)+IF(A41&gt;DECISIONES!$B$14,DECISIONES!$B$19*12*(1+PARÁMETROS!$B$10)^A41,0))</f>
        <v>-14082.6894351964</v>
      </c>
      <c r="O41" s="23" t="n">
        <f aca="false">IF($A41&gt;$B$11,"",V41+N41+F41)</f>
        <v>488086.555909073</v>
      </c>
      <c r="P41" s="23" t="n">
        <f aca="false">IF($A41&gt;$B$11,"",(PARÁMETROS!$B$15-DECISIONES!$B$7)*12*(1+PARÁMETROS!$B$10)^A41-IF(A41&gt;DECISIONES!$B$14,DECISIONES!$B$19*12*(1+PARÁMETROS!$B$10)^A41,0))</f>
        <v>18255.3328563881</v>
      </c>
      <c r="Q41" s="25" t="n">
        <f aca="false">IF($A41&gt;$B$11,"",O41*PARÁMETROS!$B$16/P41)</f>
        <v>1.06946624254682</v>
      </c>
      <c r="R41" s="23" t="n">
        <f aca="false">IF($A41&gt;$B$11,"",SUMPRODUCT(INMUEBLES!$D$5:$D$9,(1+INMUEBLES!$G$5:$G$9)^A41))</f>
        <v>0</v>
      </c>
      <c r="S41" s="23" t="n">
        <f aca="false">IF($A41&gt;$B$11,"",R41-VIVIENDA!$B$5*(1+PARÁMETROS!$B$19)^A41*VIVIENDA!$B$6+IF(AND(DECISIONES!$B$10="Sí",A41&gt;=DECISIONES!$B$14),VIVIENDA!$B$5*(1+PARÁMETROS!$B$19)^A41-IF(A41-DECISIONES!$B$14&gt;=DECISIONES!$B$18,0,MAX(0,FV(VIVIENDA!$B$11/12,(A41-DECISIONES!$B$14)*12,DECISIONES!$B$17,-DECISIONES!$B$16))),VIVIENDA!$B$5*(1+PARÁMETROS!$B$19)^A41*VIVIENDA!$B$6))</f>
        <v>474450.078859645</v>
      </c>
      <c r="T41" s="23" t="n">
        <f aca="false">IF($A41&gt;$B$11,"",G41+R41)</f>
        <v>502169.24534427</v>
      </c>
      <c r="U41" s="23" t="n">
        <f aca="false">IF($A41&gt;$B$11,"",O41+S41)</f>
        <v>962536.634768719</v>
      </c>
      <c r="V41" s="23" t="n">
        <f aca="false">IF($A41&gt;$B$11,"",D41-DECISIONES!$B$5*(1+PARÁMETROS!$B$9)^A41)</f>
        <v>502169.24534427</v>
      </c>
    </row>
    <row r="42" customFormat="false" ht="15" hidden="false" customHeight="false" outlineLevel="0" collapsed="false">
      <c r="A42" s="86" t="n">
        <v>27</v>
      </c>
      <c r="B42" s="26" t="str">
        <f aca="false">IF($A42&gt;$B$11,"",PARÁMETROS!$B$4+A42)</f>
        <v/>
      </c>
      <c r="C42" s="26" t="str">
        <f aca="false">IF($A42&gt;$B$11,"",PARÁMETROS!$B$6+A42)</f>
        <v/>
      </c>
      <c r="D42" s="23" t="str">
        <f aca="false">IF($A42&gt;$B$11,"",D41*(1+PARÁMETROS!$B$9)+PARÁMETROS!$B$13*12*(1+PARÁMETROS!$B$14)^(A42-1))</f>
        <v/>
      </c>
      <c r="E42" s="23" t="str">
        <f aca="false">IF($A42&gt;$B$11,"",E41*(1+PARÁMETROS!$B$7)+PARÁMETROS!$B$11*12*(1+PARÁMETROS!$B$14)^(A42-1))</f>
        <v/>
      </c>
      <c r="F42" s="23" t="str">
        <f aca="false">IF($A42&gt;$B$11,"",F41*(1+PARÁMETROS!$B$8)+PARÁMETROS!$B$12*12*(1+PARÁMETROS!$B$14)^(A42-1))</f>
        <v/>
      </c>
      <c r="G42" s="23" t="str">
        <f aca="false">IF($A42&gt;$B$11,"",D42+E42+F42)</f>
        <v/>
      </c>
      <c r="H42" s="23" t="str">
        <f aca="false">IF($A42&gt;$B$11,"",G42/(1+PARÁMETROS!$B$10)^A42)</f>
        <v/>
      </c>
      <c r="I42" s="23" t="str">
        <f aca="false">IF($A42&gt;$B$11,"",$G$15)</f>
        <v/>
      </c>
      <c r="J42" s="23" t="str">
        <f aca="false">IF($A42&gt;$B$11,"",J41+(PARÁMETROS!$B$13+PARÁMETROS!$B$11+PARÁMETROS!$B$12)*12*(1+PARÁMETROS!$B$14)^(A42-1))</f>
        <v/>
      </c>
      <c r="K42" s="23" t="str">
        <f aca="false">IF($A42&gt;$B$11,"",G42-I42-J42)</f>
        <v/>
      </c>
      <c r="L42" s="23" t="str">
        <f aca="false">IF($A42&gt;$B$11,"",PARÁMETROS!$B$15*12*(1+PARÁMETROS!$B$10)^A42)</f>
        <v/>
      </c>
      <c r="M42" s="25" t="str">
        <f aca="false">IF($A42&gt;$B$11,"",G42*PARÁMETROS!$B$16/L42)</f>
        <v/>
      </c>
      <c r="N42" s="23" t="str">
        <f aca="false">IF($A42&gt;$B$11,"",N41*(1+DECISIONES!$B$9)+(PARÁMETROS!$B$11+DECISIONES!$B$6+IF(DECISIONES!$B$8="Sí",DECISIONES!$B$7,0))*12*(1+PARÁMETROS!$B$14)^(A42-1)-IF(A42=DECISIONES!$B$14,DECISIONES!$B$15,0)-IF(AND(A42&gt;DECISIONES!$B$14,A42&lt;=DECISIONES!$B$14+DECISIONES!$B$18),DECISIONES!$B$17*12,0)+IF(A42&gt;DECISIONES!$B$14,DECISIONES!$B$19*12*(1+PARÁMETROS!$B$10)^A42,0))</f>
        <v/>
      </c>
      <c r="O42" s="23" t="str">
        <f aca="false">IF($A42&gt;$B$11,"",V42+N42+F42)</f>
        <v/>
      </c>
      <c r="P42" s="23" t="str">
        <f aca="false">IF($A42&gt;$B$11,"",(PARÁMETROS!$B$15-DECISIONES!$B$7)*12*(1+PARÁMETROS!$B$10)^A42-IF(A42&gt;DECISIONES!$B$14,DECISIONES!$B$19*12*(1+PARÁMETROS!$B$10)^A42,0))</f>
        <v/>
      </c>
      <c r="Q42" s="25" t="str">
        <f aca="false">IF($A42&gt;$B$11,"",O42*PARÁMETROS!$B$16/P42)</f>
        <v/>
      </c>
      <c r="R42" s="23" t="str">
        <f aca="false">IF($A42&gt;$B$11,"",SUMPRODUCT(INMUEBLES!$D$5:$D$9,(1+INMUEBLES!$G$5:$G$9)^A42))</f>
        <v/>
      </c>
      <c r="S42" s="23" t="str">
        <f aca="false">IF($A42&gt;$B$11,"",R42-VIVIENDA!$B$5*(1+PARÁMETROS!$B$19)^A42*VIVIENDA!$B$6+IF(AND(DECISIONES!$B$10="Sí",A42&gt;=DECISIONES!$B$14),VIVIENDA!$B$5*(1+PARÁMETROS!$B$19)^A42-IF(A42-DECISIONES!$B$14&gt;=DECISIONES!$B$18,0,MAX(0,FV(VIVIENDA!$B$11/12,(A42-DECISIONES!$B$14)*12,DECISIONES!$B$17,-DECISIONES!$B$16))),VIVIENDA!$B$5*(1+PARÁMETROS!$B$19)^A42*VIVIENDA!$B$6))</f>
        <v/>
      </c>
      <c r="T42" s="23" t="str">
        <f aca="false">IF($A42&gt;$B$11,"",G42+R42)</f>
        <v/>
      </c>
      <c r="U42" s="23" t="str">
        <f aca="false">IF($A42&gt;$B$11,"",O42+S42)</f>
        <v/>
      </c>
      <c r="V42" s="23" t="str">
        <f aca="false">IF($A42&gt;$B$11,"",D42-DECISIONES!$B$5*(1+PARÁMETROS!$B$9)^A42)</f>
        <v/>
      </c>
    </row>
    <row r="43" customFormat="false" ht="15" hidden="false" customHeight="false" outlineLevel="0" collapsed="false">
      <c r="A43" s="86" t="n">
        <v>28</v>
      </c>
      <c r="B43" s="26" t="str">
        <f aca="false">IF($A43&gt;$B$11,"",PARÁMETROS!$B$4+A43)</f>
        <v/>
      </c>
      <c r="C43" s="26" t="str">
        <f aca="false">IF($A43&gt;$B$11,"",PARÁMETROS!$B$6+A43)</f>
        <v/>
      </c>
      <c r="D43" s="23" t="str">
        <f aca="false">IF($A43&gt;$B$11,"",D42*(1+PARÁMETROS!$B$9)+PARÁMETROS!$B$13*12*(1+PARÁMETROS!$B$14)^(A43-1))</f>
        <v/>
      </c>
      <c r="E43" s="23" t="str">
        <f aca="false">IF($A43&gt;$B$11,"",E42*(1+PARÁMETROS!$B$7)+PARÁMETROS!$B$11*12*(1+PARÁMETROS!$B$14)^(A43-1))</f>
        <v/>
      </c>
      <c r="F43" s="23" t="str">
        <f aca="false">IF($A43&gt;$B$11,"",F42*(1+PARÁMETROS!$B$8)+PARÁMETROS!$B$12*12*(1+PARÁMETROS!$B$14)^(A43-1))</f>
        <v/>
      </c>
      <c r="G43" s="23" t="str">
        <f aca="false">IF($A43&gt;$B$11,"",D43+E43+F43)</f>
        <v/>
      </c>
      <c r="H43" s="23" t="str">
        <f aca="false">IF($A43&gt;$B$11,"",G43/(1+PARÁMETROS!$B$10)^A43)</f>
        <v/>
      </c>
      <c r="I43" s="23" t="str">
        <f aca="false">IF($A43&gt;$B$11,"",$G$15)</f>
        <v/>
      </c>
      <c r="J43" s="23" t="str">
        <f aca="false">IF($A43&gt;$B$11,"",J42+(PARÁMETROS!$B$13+PARÁMETROS!$B$11+PARÁMETROS!$B$12)*12*(1+PARÁMETROS!$B$14)^(A43-1))</f>
        <v/>
      </c>
      <c r="K43" s="23" t="str">
        <f aca="false">IF($A43&gt;$B$11,"",G43-I43-J43)</f>
        <v/>
      </c>
      <c r="L43" s="23" t="str">
        <f aca="false">IF($A43&gt;$B$11,"",PARÁMETROS!$B$15*12*(1+PARÁMETROS!$B$10)^A43)</f>
        <v/>
      </c>
      <c r="M43" s="25" t="str">
        <f aca="false">IF($A43&gt;$B$11,"",G43*PARÁMETROS!$B$16/L43)</f>
        <v/>
      </c>
      <c r="N43" s="23" t="str">
        <f aca="false">IF($A43&gt;$B$11,"",N42*(1+DECISIONES!$B$9)+(PARÁMETROS!$B$11+DECISIONES!$B$6+IF(DECISIONES!$B$8="Sí",DECISIONES!$B$7,0))*12*(1+PARÁMETROS!$B$14)^(A43-1)-IF(A43=DECISIONES!$B$14,DECISIONES!$B$15,0)-IF(AND(A43&gt;DECISIONES!$B$14,A43&lt;=DECISIONES!$B$14+DECISIONES!$B$18),DECISIONES!$B$17*12,0)+IF(A43&gt;DECISIONES!$B$14,DECISIONES!$B$19*12*(1+PARÁMETROS!$B$10)^A43,0))</f>
        <v/>
      </c>
      <c r="O43" s="23" t="str">
        <f aca="false">IF($A43&gt;$B$11,"",V43+N43+F43)</f>
        <v/>
      </c>
      <c r="P43" s="23" t="str">
        <f aca="false">IF($A43&gt;$B$11,"",(PARÁMETROS!$B$15-DECISIONES!$B$7)*12*(1+PARÁMETROS!$B$10)^A43-IF(A43&gt;DECISIONES!$B$14,DECISIONES!$B$19*12*(1+PARÁMETROS!$B$10)^A43,0))</f>
        <v/>
      </c>
      <c r="Q43" s="25" t="str">
        <f aca="false">IF($A43&gt;$B$11,"",O43*PARÁMETROS!$B$16/P43)</f>
        <v/>
      </c>
      <c r="R43" s="23" t="str">
        <f aca="false">IF($A43&gt;$B$11,"",SUMPRODUCT(INMUEBLES!$D$5:$D$9,(1+INMUEBLES!$G$5:$G$9)^A43))</f>
        <v/>
      </c>
      <c r="S43" s="23" t="str">
        <f aca="false">IF($A43&gt;$B$11,"",R43-VIVIENDA!$B$5*(1+PARÁMETROS!$B$19)^A43*VIVIENDA!$B$6+IF(AND(DECISIONES!$B$10="Sí",A43&gt;=DECISIONES!$B$14),VIVIENDA!$B$5*(1+PARÁMETROS!$B$19)^A43-IF(A43-DECISIONES!$B$14&gt;=DECISIONES!$B$18,0,MAX(0,FV(VIVIENDA!$B$11/12,(A43-DECISIONES!$B$14)*12,DECISIONES!$B$17,-DECISIONES!$B$16))),VIVIENDA!$B$5*(1+PARÁMETROS!$B$19)^A43*VIVIENDA!$B$6))</f>
        <v/>
      </c>
      <c r="T43" s="23" t="str">
        <f aca="false">IF($A43&gt;$B$11,"",G43+R43)</f>
        <v/>
      </c>
      <c r="U43" s="23" t="str">
        <f aca="false">IF($A43&gt;$B$11,"",O43+S43)</f>
        <v/>
      </c>
      <c r="V43" s="23" t="str">
        <f aca="false">IF($A43&gt;$B$11,"",D43-DECISIONES!$B$5*(1+PARÁMETROS!$B$9)^A43)</f>
        <v/>
      </c>
    </row>
    <row r="44" customFormat="false" ht="15" hidden="false" customHeight="false" outlineLevel="0" collapsed="false">
      <c r="A44" s="86" t="n">
        <v>29</v>
      </c>
      <c r="B44" s="26" t="str">
        <f aca="false">IF($A44&gt;$B$11,"",PARÁMETROS!$B$4+A44)</f>
        <v/>
      </c>
      <c r="C44" s="26" t="str">
        <f aca="false">IF($A44&gt;$B$11,"",PARÁMETROS!$B$6+A44)</f>
        <v/>
      </c>
      <c r="D44" s="23" t="str">
        <f aca="false">IF($A44&gt;$B$11,"",D43*(1+PARÁMETROS!$B$9)+PARÁMETROS!$B$13*12*(1+PARÁMETROS!$B$14)^(A44-1))</f>
        <v/>
      </c>
      <c r="E44" s="23" t="str">
        <f aca="false">IF($A44&gt;$B$11,"",E43*(1+PARÁMETROS!$B$7)+PARÁMETROS!$B$11*12*(1+PARÁMETROS!$B$14)^(A44-1))</f>
        <v/>
      </c>
      <c r="F44" s="23" t="str">
        <f aca="false">IF($A44&gt;$B$11,"",F43*(1+PARÁMETROS!$B$8)+PARÁMETROS!$B$12*12*(1+PARÁMETROS!$B$14)^(A44-1))</f>
        <v/>
      </c>
      <c r="G44" s="23" t="str">
        <f aca="false">IF($A44&gt;$B$11,"",D44+E44+F44)</f>
        <v/>
      </c>
      <c r="H44" s="23" t="str">
        <f aca="false">IF($A44&gt;$B$11,"",G44/(1+PARÁMETROS!$B$10)^A44)</f>
        <v/>
      </c>
      <c r="I44" s="23" t="str">
        <f aca="false">IF($A44&gt;$B$11,"",$G$15)</f>
        <v/>
      </c>
      <c r="J44" s="23" t="str">
        <f aca="false">IF($A44&gt;$B$11,"",J43+(PARÁMETROS!$B$13+PARÁMETROS!$B$11+PARÁMETROS!$B$12)*12*(1+PARÁMETROS!$B$14)^(A44-1))</f>
        <v/>
      </c>
      <c r="K44" s="23" t="str">
        <f aca="false">IF($A44&gt;$B$11,"",G44-I44-J44)</f>
        <v/>
      </c>
      <c r="L44" s="23" t="str">
        <f aca="false">IF($A44&gt;$B$11,"",PARÁMETROS!$B$15*12*(1+PARÁMETROS!$B$10)^A44)</f>
        <v/>
      </c>
      <c r="M44" s="25" t="str">
        <f aca="false">IF($A44&gt;$B$11,"",G44*PARÁMETROS!$B$16/L44)</f>
        <v/>
      </c>
      <c r="N44" s="23" t="str">
        <f aca="false">IF($A44&gt;$B$11,"",N43*(1+DECISIONES!$B$9)+(PARÁMETROS!$B$11+DECISIONES!$B$6+IF(DECISIONES!$B$8="Sí",DECISIONES!$B$7,0))*12*(1+PARÁMETROS!$B$14)^(A44-1)-IF(A44=DECISIONES!$B$14,DECISIONES!$B$15,0)-IF(AND(A44&gt;DECISIONES!$B$14,A44&lt;=DECISIONES!$B$14+DECISIONES!$B$18),DECISIONES!$B$17*12,0)+IF(A44&gt;DECISIONES!$B$14,DECISIONES!$B$19*12*(1+PARÁMETROS!$B$10)^A44,0))</f>
        <v/>
      </c>
      <c r="O44" s="23" t="str">
        <f aca="false">IF($A44&gt;$B$11,"",V44+N44+F44)</f>
        <v/>
      </c>
      <c r="P44" s="23" t="str">
        <f aca="false">IF($A44&gt;$B$11,"",(PARÁMETROS!$B$15-DECISIONES!$B$7)*12*(1+PARÁMETROS!$B$10)^A44-IF(A44&gt;DECISIONES!$B$14,DECISIONES!$B$19*12*(1+PARÁMETROS!$B$10)^A44,0))</f>
        <v/>
      </c>
      <c r="Q44" s="25" t="str">
        <f aca="false">IF($A44&gt;$B$11,"",O44*PARÁMETROS!$B$16/P44)</f>
        <v/>
      </c>
      <c r="R44" s="23" t="str">
        <f aca="false">IF($A44&gt;$B$11,"",SUMPRODUCT(INMUEBLES!$D$5:$D$9,(1+INMUEBLES!$G$5:$G$9)^A44))</f>
        <v/>
      </c>
      <c r="S44" s="23" t="str">
        <f aca="false">IF($A44&gt;$B$11,"",R44-VIVIENDA!$B$5*(1+PARÁMETROS!$B$19)^A44*VIVIENDA!$B$6+IF(AND(DECISIONES!$B$10="Sí",A44&gt;=DECISIONES!$B$14),VIVIENDA!$B$5*(1+PARÁMETROS!$B$19)^A44-IF(A44-DECISIONES!$B$14&gt;=DECISIONES!$B$18,0,MAX(0,FV(VIVIENDA!$B$11/12,(A44-DECISIONES!$B$14)*12,DECISIONES!$B$17,-DECISIONES!$B$16))),VIVIENDA!$B$5*(1+PARÁMETROS!$B$19)^A44*VIVIENDA!$B$6))</f>
        <v/>
      </c>
      <c r="T44" s="23" t="str">
        <f aca="false">IF($A44&gt;$B$11,"",G44+R44)</f>
        <v/>
      </c>
      <c r="U44" s="23" t="str">
        <f aca="false">IF($A44&gt;$B$11,"",O44+S44)</f>
        <v/>
      </c>
      <c r="V44" s="23" t="str">
        <f aca="false">IF($A44&gt;$B$11,"",D44-DECISIONES!$B$5*(1+PARÁMETROS!$B$9)^A44)</f>
        <v/>
      </c>
    </row>
    <row r="45" customFormat="false" ht="15" hidden="false" customHeight="false" outlineLevel="0" collapsed="false">
      <c r="A45" s="86" t="n">
        <v>30</v>
      </c>
      <c r="B45" s="26" t="str">
        <f aca="false">IF($A45&gt;$B$11,"",PARÁMETROS!$B$4+A45)</f>
        <v/>
      </c>
      <c r="C45" s="26" t="str">
        <f aca="false">IF($A45&gt;$B$11,"",PARÁMETROS!$B$6+A45)</f>
        <v/>
      </c>
      <c r="D45" s="23" t="str">
        <f aca="false">IF($A45&gt;$B$11,"",D44*(1+PARÁMETROS!$B$9)+PARÁMETROS!$B$13*12*(1+PARÁMETROS!$B$14)^(A45-1))</f>
        <v/>
      </c>
      <c r="E45" s="23" t="str">
        <f aca="false">IF($A45&gt;$B$11,"",E44*(1+PARÁMETROS!$B$7)+PARÁMETROS!$B$11*12*(1+PARÁMETROS!$B$14)^(A45-1))</f>
        <v/>
      </c>
      <c r="F45" s="23" t="str">
        <f aca="false">IF($A45&gt;$B$11,"",F44*(1+PARÁMETROS!$B$8)+PARÁMETROS!$B$12*12*(1+PARÁMETROS!$B$14)^(A45-1))</f>
        <v/>
      </c>
      <c r="G45" s="23" t="str">
        <f aca="false">IF($A45&gt;$B$11,"",D45+E45+F45)</f>
        <v/>
      </c>
      <c r="H45" s="23" t="str">
        <f aca="false">IF($A45&gt;$B$11,"",G45/(1+PARÁMETROS!$B$10)^A45)</f>
        <v/>
      </c>
      <c r="I45" s="23" t="str">
        <f aca="false">IF($A45&gt;$B$11,"",$G$15)</f>
        <v/>
      </c>
      <c r="J45" s="23" t="str">
        <f aca="false">IF($A45&gt;$B$11,"",J44+(PARÁMETROS!$B$13+PARÁMETROS!$B$11+PARÁMETROS!$B$12)*12*(1+PARÁMETROS!$B$14)^(A45-1))</f>
        <v/>
      </c>
      <c r="K45" s="23" t="str">
        <f aca="false">IF($A45&gt;$B$11,"",G45-I45-J45)</f>
        <v/>
      </c>
      <c r="L45" s="23" t="str">
        <f aca="false">IF($A45&gt;$B$11,"",PARÁMETROS!$B$15*12*(1+PARÁMETROS!$B$10)^A45)</f>
        <v/>
      </c>
      <c r="M45" s="25" t="str">
        <f aca="false">IF($A45&gt;$B$11,"",G45*PARÁMETROS!$B$16/L45)</f>
        <v/>
      </c>
      <c r="N45" s="23" t="str">
        <f aca="false">IF($A45&gt;$B$11,"",N44*(1+DECISIONES!$B$9)+(PARÁMETROS!$B$11+DECISIONES!$B$6+IF(DECISIONES!$B$8="Sí",DECISIONES!$B$7,0))*12*(1+PARÁMETROS!$B$14)^(A45-1)-IF(A45=DECISIONES!$B$14,DECISIONES!$B$15,0)-IF(AND(A45&gt;DECISIONES!$B$14,A45&lt;=DECISIONES!$B$14+DECISIONES!$B$18),DECISIONES!$B$17*12,0)+IF(A45&gt;DECISIONES!$B$14,DECISIONES!$B$19*12*(1+PARÁMETROS!$B$10)^A45,0))</f>
        <v/>
      </c>
      <c r="O45" s="23" t="str">
        <f aca="false">IF($A45&gt;$B$11,"",V45+N45+F45)</f>
        <v/>
      </c>
      <c r="P45" s="23" t="str">
        <f aca="false">IF($A45&gt;$B$11,"",(PARÁMETROS!$B$15-DECISIONES!$B$7)*12*(1+PARÁMETROS!$B$10)^A45-IF(A45&gt;DECISIONES!$B$14,DECISIONES!$B$19*12*(1+PARÁMETROS!$B$10)^A45,0))</f>
        <v/>
      </c>
      <c r="Q45" s="25" t="str">
        <f aca="false">IF($A45&gt;$B$11,"",O45*PARÁMETROS!$B$16/P45)</f>
        <v/>
      </c>
      <c r="R45" s="23" t="str">
        <f aca="false">IF($A45&gt;$B$11,"",SUMPRODUCT(INMUEBLES!$D$5:$D$9,(1+INMUEBLES!$G$5:$G$9)^A45))</f>
        <v/>
      </c>
      <c r="S45" s="23" t="str">
        <f aca="false">IF($A45&gt;$B$11,"",R45-VIVIENDA!$B$5*(1+PARÁMETROS!$B$19)^A45*VIVIENDA!$B$6+IF(AND(DECISIONES!$B$10="Sí",A45&gt;=DECISIONES!$B$14),VIVIENDA!$B$5*(1+PARÁMETROS!$B$19)^A45-IF(A45-DECISIONES!$B$14&gt;=DECISIONES!$B$18,0,MAX(0,FV(VIVIENDA!$B$11/12,(A45-DECISIONES!$B$14)*12,DECISIONES!$B$17,-DECISIONES!$B$16))),VIVIENDA!$B$5*(1+PARÁMETROS!$B$19)^A45*VIVIENDA!$B$6))</f>
        <v/>
      </c>
      <c r="T45" s="23" t="str">
        <f aca="false">IF($A45&gt;$B$11,"",G45+R45)</f>
        <v/>
      </c>
      <c r="U45" s="23" t="str">
        <f aca="false">IF($A45&gt;$B$11,"",O45+S45)</f>
        <v/>
      </c>
      <c r="V45" s="23" t="str">
        <f aca="false">IF($A45&gt;$B$11,"",D45-DECISIONES!$B$5*(1+PARÁMETROS!$B$9)^A45)</f>
        <v/>
      </c>
    </row>
    <row r="48" customFormat="false" ht="15" hidden="false" customHeight="false" outlineLevel="0" collapsed="false">
      <c r="A48" s="16" t="s">
        <v>905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customFormat="false" ht="42" hidden="false" customHeight="true" outlineLevel="0" collapsed="false">
      <c r="A49" s="22" t="s">
        <v>906</v>
      </c>
      <c r="B49" s="22" t="s">
        <v>63</v>
      </c>
      <c r="C49" s="22" t="s">
        <v>62</v>
      </c>
      <c r="D49" s="22" t="s">
        <v>907</v>
      </c>
      <c r="E49" s="22" t="s">
        <v>908</v>
      </c>
      <c r="F49" s="22" t="s">
        <v>909</v>
      </c>
      <c r="G49" s="22" t="s">
        <v>910</v>
      </c>
      <c r="H49" s="22" t="s">
        <v>911</v>
      </c>
      <c r="I49" s="22" t="s">
        <v>912</v>
      </c>
      <c r="J49" s="22" t="s">
        <v>913</v>
      </c>
      <c r="K49" s="22" t="s">
        <v>914</v>
      </c>
      <c r="L49" s="22" t="s">
        <v>915</v>
      </c>
      <c r="M49" s="22" t="s">
        <v>916</v>
      </c>
      <c r="N49" s="22" t="s">
        <v>917</v>
      </c>
    </row>
    <row r="50" customFormat="false" ht="15" hidden="false" customHeight="false" outlineLevel="0" collapsed="false">
      <c r="A50" s="86" t="n">
        <v>0</v>
      </c>
      <c r="B50" s="26" t="n">
        <f aca="false">PARÁMETROS!$B$5+A50</f>
        <v>67</v>
      </c>
      <c r="C50" s="26" t="n">
        <f aca="false">PARÁMETROS!$B$6+($B$11+A50)</f>
        <v>2052</v>
      </c>
      <c r="D50" s="23" t="n">
        <f aca="false">INDEX($G$15:$G$45,$B$11+1)</f>
        <v>502169.24534427</v>
      </c>
      <c r="E50" s="23" t="n">
        <f aca="false">PARÁMETROS!$B$15*12*(1+PARÁMETROS!$B$10)^($B$11+A50)</f>
        <v>37638.3184043462</v>
      </c>
      <c r="F50" s="23" t="n">
        <f aca="false">PARÁMETROS!$B$17*14*(1+PARÁMETROS!$B$10)^($B$11+A50)</f>
        <v>33255.1222636536</v>
      </c>
      <c r="G50" s="23" t="n">
        <f aca="false">INMUEBLES!$D$11*(1+PARÁMETROS!$B$10)^($B$11+A50)</f>
        <v>0</v>
      </c>
      <c r="H50" s="23" t="n">
        <f aca="false">MAX(0,E50-F50-G50)</f>
        <v>4383.19614069262</v>
      </c>
      <c r="I50" s="23" t="n">
        <f aca="false">MAX(0,D50*(1+PARÁMETROS!$B$20)-H50)</f>
        <v>512851.126563905</v>
      </c>
      <c r="J50" s="23" t="n">
        <f aca="false">INDEX($O$15:$O$45,$B$11+1)</f>
        <v>488086.555909073</v>
      </c>
      <c r="K50" s="23" t="n">
        <f aca="false">(PARÁMETROS!$B$15-DECISIONES!$B$7)*12*(1+PARÁMETROS!$B$10)^($B$11+A50)-IF(($B$11+A50)&gt;DECISIONES!$B$14,DECISIONES!$B$19*12*(1+PARÁMETROS!$B$10)^($B$11+A50),0)</f>
        <v>18255.3328563881</v>
      </c>
      <c r="L50" s="23" t="n">
        <f aca="false">IF(AND(($B$11+A50)&gt;=DECISIONES!$B$14,($B$11+A50)&lt;DECISIONES!$B$14+DECISIONES!$B$18),DECISIONES!$B$17*12,0)</f>
        <v>0</v>
      </c>
      <c r="M50" s="23" t="n">
        <f aca="false">MAX(0,K50+L50-F50-G50)</f>
        <v>0</v>
      </c>
      <c r="N50" s="23" t="n">
        <f aca="false">MAX(0,J50*(1+PARÁMETROS!$B$20)-M50)</f>
        <v>502729.152586345</v>
      </c>
    </row>
    <row r="51" customFormat="false" ht="15" hidden="false" customHeight="false" outlineLevel="0" collapsed="false">
      <c r="A51" s="86" t="n">
        <v>1</v>
      </c>
      <c r="B51" s="26" t="n">
        <f aca="false">PARÁMETROS!$B$5+A51</f>
        <v>68</v>
      </c>
      <c r="C51" s="26" t="n">
        <f aca="false">PARÁMETROS!$B$6+($B$11+A51)</f>
        <v>2053</v>
      </c>
      <c r="D51" s="23" t="n">
        <f aca="false">I50</f>
        <v>512851.126563905</v>
      </c>
      <c r="E51" s="23" t="n">
        <f aca="false">PARÁMETROS!$B$15*12*(1+PARÁMETROS!$B$10)^($B$11+A51)</f>
        <v>38579.2763644549</v>
      </c>
      <c r="F51" s="23" t="n">
        <f aca="false">PARÁMETROS!$B$17*14*(1+PARÁMETROS!$B$10)^($B$11+A51)</f>
        <v>34086.5003202449</v>
      </c>
      <c r="G51" s="23" t="n">
        <f aca="false">INMUEBLES!$D$11*(1+PARÁMETROS!$B$10)^($B$11+A51)</f>
        <v>0</v>
      </c>
      <c r="H51" s="23" t="n">
        <f aca="false">MAX(0,E51-F51-G51)</f>
        <v>4492.77604420993</v>
      </c>
      <c r="I51" s="23" t="n">
        <f aca="false">MAX(0,D51*(1+PARÁMETROS!$B$20)-H51)</f>
        <v>523743.884316612</v>
      </c>
      <c r="J51" s="23" t="n">
        <f aca="false">N50</f>
        <v>502729.152586345</v>
      </c>
      <c r="K51" s="23" t="n">
        <f aca="false">(PARÁMETROS!$B$15-DECISIONES!$B$7)*12*(1+PARÁMETROS!$B$10)^($B$11+A51)-IF(($B$11+A51)&gt;DECISIONES!$B$14,DECISIONES!$B$19*12*(1+PARÁMETROS!$B$10)^($B$11+A51),0)</f>
        <v>18711.7161777978</v>
      </c>
      <c r="L51" s="23" t="n">
        <f aca="false">IF(AND(($B$11+A51)&gt;=DECISIONES!$B$14,($B$11+A51)&lt;DECISIONES!$B$14+DECISIONES!$B$18),DECISIONES!$B$17*12,0)</f>
        <v>0</v>
      </c>
      <c r="M51" s="23" t="n">
        <f aca="false">MAX(0,K51+L51-F51-G51)</f>
        <v>0</v>
      </c>
      <c r="N51" s="23" t="n">
        <f aca="false">MAX(0,J51*(1+PARÁMETROS!$B$20)-M51)</f>
        <v>517811.027163936</v>
      </c>
    </row>
    <row r="52" customFormat="false" ht="15" hidden="false" customHeight="false" outlineLevel="0" collapsed="false">
      <c r="A52" s="86" t="n">
        <v>2</v>
      </c>
      <c r="B52" s="26" t="n">
        <f aca="false">PARÁMETROS!$B$5+A52</f>
        <v>69</v>
      </c>
      <c r="C52" s="26" t="n">
        <f aca="false">PARÁMETROS!$B$6+($B$11+A52)</f>
        <v>2054</v>
      </c>
      <c r="D52" s="23" t="n">
        <f aca="false">I51</f>
        <v>523743.884316612</v>
      </c>
      <c r="E52" s="23" t="n">
        <f aca="false">PARÁMETROS!$B$15*12*(1+PARÁMETROS!$B$10)^($B$11+A52)</f>
        <v>39543.7582735662</v>
      </c>
      <c r="F52" s="23" t="n">
        <f aca="false">PARÁMETROS!$B$17*14*(1+PARÁMETROS!$B$10)^($B$11+A52)</f>
        <v>34938.6628282511</v>
      </c>
      <c r="G52" s="23" t="n">
        <f aca="false">INMUEBLES!$D$11*(1+PARÁMETROS!$B$10)^($B$11+A52)</f>
        <v>0</v>
      </c>
      <c r="H52" s="23" t="n">
        <f aca="false">MAX(0,E52-F52-G52)</f>
        <v>4605.09544531518</v>
      </c>
      <c r="I52" s="23" t="n">
        <f aca="false">MAX(0,D52*(1+PARÁMETROS!$B$20)-H52)</f>
        <v>534851.105400795</v>
      </c>
      <c r="J52" s="23" t="n">
        <f aca="false">N51</f>
        <v>517811.027163936</v>
      </c>
      <c r="K52" s="23" t="n">
        <f aca="false">(PARÁMETROS!$B$15-DECISIONES!$B$7)*12*(1+PARÁMETROS!$B$10)^($B$11+A52)-IF(($B$11+A52)&gt;DECISIONES!$B$14,DECISIONES!$B$19*12*(1+PARÁMETROS!$B$10)^($B$11+A52),0)</f>
        <v>19179.5090822428</v>
      </c>
      <c r="L52" s="23" t="n">
        <f aca="false">IF(AND(($B$11+A52)&gt;=DECISIONES!$B$14,($B$11+A52)&lt;DECISIONES!$B$14+DECISIONES!$B$18),DECISIONES!$B$17*12,0)</f>
        <v>0</v>
      </c>
      <c r="M52" s="23" t="n">
        <f aca="false">MAX(0,K52+L52-F52-G52)</f>
        <v>0</v>
      </c>
      <c r="N52" s="23" t="n">
        <f aca="false">MAX(0,J52*(1+PARÁMETROS!$B$20)-M52)</f>
        <v>533345.357978854</v>
      </c>
    </row>
    <row r="53" customFormat="false" ht="15" hidden="false" customHeight="false" outlineLevel="0" collapsed="false">
      <c r="A53" s="86" t="n">
        <v>3</v>
      </c>
      <c r="B53" s="26" t="n">
        <f aca="false">PARÁMETROS!$B$5+A53</f>
        <v>70</v>
      </c>
      <c r="C53" s="26" t="n">
        <f aca="false">PARÁMETROS!$B$6+($B$11+A53)</f>
        <v>2055</v>
      </c>
      <c r="D53" s="23" t="n">
        <f aca="false">I52</f>
        <v>534851.105400795</v>
      </c>
      <c r="E53" s="23" t="n">
        <f aca="false">PARÁMETROS!$B$15*12*(1+PARÁMETROS!$B$10)^($B$11+A53)</f>
        <v>40532.3522304054</v>
      </c>
      <c r="F53" s="23" t="n">
        <f aca="false">PARÁMETROS!$B$17*14*(1+PARÁMETROS!$B$10)^($B$11+A53)</f>
        <v>35812.1293989573</v>
      </c>
      <c r="G53" s="23" t="n">
        <f aca="false">INMUEBLES!$D$11*(1+PARÁMETROS!$B$10)^($B$11+A53)</f>
        <v>0</v>
      </c>
      <c r="H53" s="23" t="n">
        <f aca="false">MAX(0,E53-F53-G53)</f>
        <v>4720.22283144806</v>
      </c>
      <c r="I53" s="23" t="n">
        <f aca="false">MAX(0,D53*(1+PARÁMETROS!$B$20)-H53)</f>
        <v>546176.415731371</v>
      </c>
      <c r="J53" s="23" t="n">
        <f aca="false">N52</f>
        <v>533345.357978854</v>
      </c>
      <c r="K53" s="23" t="n">
        <f aca="false">(PARÁMETROS!$B$15-DECISIONES!$B$7)*12*(1+PARÁMETROS!$B$10)^($B$11+A53)-IF(($B$11+A53)&gt;DECISIONES!$B$14,DECISIONES!$B$19*12*(1+PARÁMETROS!$B$10)^($B$11+A53),0)</f>
        <v>19658.9968092988</v>
      </c>
      <c r="L53" s="23" t="n">
        <f aca="false">IF(AND(($B$11+A53)&gt;=DECISIONES!$B$14,($B$11+A53)&lt;DECISIONES!$B$14+DECISIONES!$B$18),DECISIONES!$B$17*12,0)</f>
        <v>0</v>
      </c>
      <c r="M53" s="23" t="n">
        <f aca="false">MAX(0,K53+L53-F53-G53)</f>
        <v>0</v>
      </c>
      <c r="N53" s="23" t="n">
        <f aca="false">MAX(0,J53*(1+PARÁMETROS!$B$20)-M53)</f>
        <v>549345.718718219</v>
      </c>
    </row>
    <row r="54" customFormat="false" ht="15" hidden="false" customHeight="false" outlineLevel="0" collapsed="false">
      <c r="A54" s="86" t="n">
        <v>4</v>
      </c>
      <c r="B54" s="26" t="n">
        <f aca="false">PARÁMETROS!$B$5+A54</f>
        <v>71</v>
      </c>
      <c r="C54" s="26" t="n">
        <f aca="false">PARÁMETROS!$B$6+($B$11+A54)</f>
        <v>2056</v>
      </c>
      <c r="D54" s="23" t="n">
        <f aca="false">I53</f>
        <v>546176.415731371</v>
      </c>
      <c r="E54" s="23" t="n">
        <f aca="false">PARÁMETROS!$B$15*12*(1+PARÁMETROS!$B$10)^($B$11+A54)</f>
        <v>41545.6610361655</v>
      </c>
      <c r="F54" s="23" t="n">
        <f aca="false">PARÁMETROS!$B$17*14*(1+PARÁMETROS!$B$10)^($B$11+A54)</f>
        <v>36707.4326339313</v>
      </c>
      <c r="G54" s="23" t="n">
        <f aca="false">INMUEBLES!$D$11*(1+PARÁMETROS!$B$10)^($B$11+A54)</f>
        <v>0</v>
      </c>
      <c r="H54" s="23" t="n">
        <f aca="false">MAX(0,E54-F54-G54)</f>
        <v>4838.22840223426</v>
      </c>
      <c r="I54" s="23" t="n">
        <f aca="false">MAX(0,D54*(1+PARÁMETROS!$B$20)-H54)</f>
        <v>557723.479801078</v>
      </c>
      <c r="J54" s="23" t="n">
        <f aca="false">N53</f>
        <v>549345.718718219</v>
      </c>
      <c r="K54" s="23" t="n">
        <f aca="false">(PARÁMETROS!$B$15-DECISIONES!$B$7)*12*(1+PARÁMETROS!$B$10)^($B$11+A54)-IF(($B$11+A54)&gt;DECISIONES!$B$14,DECISIONES!$B$19*12*(1+PARÁMETROS!$B$10)^($B$11+A54),0)</f>
        <v>20150.4717295313</v>
      </c>
      <c r="L54" s="23" t="n">
        <f aca="false">IF(AND(($B$11+A54)&gt;=DECISIONES!$B$14,($B$11+A54)&lt;DECISIONES!$B$14+DECISIONES!$B$18),DECISIONES!$B$17*12,0)</f>
        <v>0</v>
      </c>
      <c r="M54" s="23" t="n">
        <f aca="false">MAX(0,K54+L54-F54-G54)</f>
        <v>0</v>
      </c>
      <c r="N54" s="23" t="n">
        <f aca="false">MAX(0,J54*(1+PARÁMETROS!$B$20)-M54)</f>
        <v>565826.090279766</v>
      </c>
    </row>
    <row r="55" customFormat="false" ht="15" hidden="false" customHeight="false" outlineLevel="0" collapsed="false">
      <c r="A55" s="86" t="n">
        <v>5</v>
      </c>
      <c r="B55" s="26" t="n">
        <f aca="false">PARÁMETROS!$B$5+A55</f>
        <v>72</v>
      </c>
      <c r="C55" s="26" t="n">
        <f aca="false">PARÁMETROS!$B$6+($B$11+A55)</f>
        <v>2057</v>
      </c>
      <c r="D55" s="23" t="n">
        <f aca="false">I54</f>
        <v>557723.479801078</v>
      </c>
      <c r="E55" s="23" t="n">
        <f aca="false">PARÁMETROS!$B$15*12*(1+PARÁMETROS!$B$10)^($B$11+A55)</f>
        <v>42584.3025620697</v>
      </c>
      <c r="F55" s="23" t="n">
        <f aca="false">PARÁMETROS!$B$17*14*(1+PARÁMETROS!$B$10)^($B$11+A55)</f>
        <v>37625.1184497795</v>
      </c>
      <c r="G55" s="23" t="n">
        <f aca="false">INMUEBLES!$D$11*(1+PARÁMETROS!$B$10)^($B$11+A55)</f>
        <v>0</v>
      </c>
      <c r="H55" s="23" t="n">
        <f aca="false">MAX(0,E55-F55-G55)</f>
        <v>4959.18411229012</v>
      </c>
      <c r="I55" s="23" t="n">
        <f aca="false">MAX(0,D55*(1+PARÁMETROS!$B$20)-H55)</f>
        <v>569496.00008282</v>
      </c>
      <c r="J55" s="23" t="n">
        <f aca="false">N54</f>
        <v>565826.090279766</v>
      </c>
      <c r="K55" s="23" t="n">
        <f aca="false">(PARÁMETROS!$B$15-DECISIONES!$B$7)*12*(1+PARÁMETROS!$B$10)^($B$11+A55)-IF(($B$11+A55)&gt;DECISIONES!$B$14,DECISIONES!$B$19*12*(1+PARÁMETROS!$B$10)^($B$11+A55),0)</f>
        <v>20654.2335227696</v>
      </c>
      <c r="L55" s="23" t="n">
        <f aca="false">IF(AND(($B$11+A55)&gt;=DECISIONES!$B$14,($B$11+A55)&lt;DECISIONES!$B$14+DECISIONES!$B$18),DECISIONES!$B$17*12,0)</f>
        <v>0</v>
      </c>
      <c r="M55" s="23" t="n">
        <f aca="false">MAX(0,K55+L55-F55-G55)</f>
        <v>0</v>
      </c>
      <c r="N55" s="23" t="n">
        <f aca="false">MAX(0,J55*(1+PARÁMETROS!$B$20)-M55)</f>
        <v>582800.872988159</v>
      </c>
    </row>
    <row r="56" customFormat="false" ht="15" hidden="false" customHeight="false" outlineLevel="0" collapsed="false">
      <c r="A56" s="86" t="n">
        <v>6</v>
      </c>
      <c r="B56" s="26" t="n">
        <f aca="false">PARÁMETROS!$B$5+A56</f>
        <v>73</v>
      </c>
      <c r="C56" s="26" t="n">
        <f aca="false">PARÁMETROS!$B$6+($B$11+A56)</f>
        <v>2058</v>
      </c>
      <c r="D56" s="23" t="n">
        <f aca="false">I55</f>
        <v>569496.00008282</v>
      </c>
      <c r="E56" s="23" t="n">
        <f aca="false">PARÁMETROS!$B$15*12*(1+PARÁMETROS!$B$10)^($B$11+A56)</f>
        <v>43648.9101261214</v>
      </c>
      <c r="F56" s="23" t="n">
        <f aca="false">PARÁMETROS!$B$17*14*(1+PARÁMETROS!$B$10)^($B$11+A56)</f>
        <v>38565.746411024</v>
      </c>
      <c r="G56" s="23" t="n">
        <f aca="false">INMUEBLES!$D$11*(1+PARÁMETROS!$B$10)^($B$11+A56)</f>
        <v>0</v>
      </c>
      <c r="H56" s="23" t="n">
        <f aca="false">MAX(0,E56-F56-G56)</f>
        <v>5083.16371509736</v>
      </c>
      <c r="I56" s="23" t="n">
        <f aca="false">MAX(0,D56*(1+PARÁMETROS!$B$20)-H56)</f>
        <v>581497.716370208</v>
      </c>
      <c r="J56" s="23" t="n">
        <f aca="false">N55</f>
        <v>582800.872988159</v>
      </c>
      <c r="K56" s="23" t="n">
        <f aca="false">(PARÁMETROS!$B$15-DECISIONES!$B$7)*12*(1+PARÁMETROS!$B$10)^($B$11+A56)-IF(($B$11+A56)&gt;DECISIONES!$B$14,DECISIONES!$B$19*12*(1+PARÁMETROS!$B$10)^($B$11+A56),0)</f>
        <v>21170.5893608388</v>
      </c>
      <c r="L56" s="23" t="n">
        <f aca="false">IF(AND(($B$11+A56)&gt;=DECISIONES!$B$14,($B$11+A56)&lt;DECISIONES!$B$14+DECISIONES!$B$18),DECISIONES!$B$17*12,0)</f>
        <v>0</v>
      </c>
      <c r="M56" s="23" t="n">
        <f aca="false">MAX(0,K56+L56-F56-G56)</f>
        <v>0</v>
      </c>
      <c r="N56" s="23" t="n">
        <f aca="false">MAX(0,J56*(1+PARÁMETROS!$B$20)-M56)</f>
        <v>600284.899177804</v>
      </c>
    </row>
    <row r="57" customFormat="false" ht="15" hidden="false" customHeight="false" outlineLevel="0" collapsed="false">
      <c r="A57" s="86" t="n">
        <v>7</v>
      </c>
      <c r="B57" s="26" t="n">
        <f aca="false">PARÁMETROS!$B$5+A57</f>
        <v>74</v>
      </c>
      <c r="C57" s="26" t="n">
        <f aca="false">PARÁMETROS!$B$6+($B$11+A57)</f>
        <v>2059</v>
      </c>
      <c r="D57" s="23" t="n">
        <f aca="false">I56</f>
        <v>581497.716370208</v>
      </c>
      <c r="E57" s="23" t="n">
        <f aca="false">PARÁMETROS!$B$15*12*(1+PARÁMETROS!$B$10)^($B$11+A57)</f>
        <v>44740.1328792744</v>
      </c>
      <c r="F57" s="23" t="n">
        <f aca="false">PARÁMETROS!$B$17*14*(1+PARÁMETROS!$B$10)^($B$11+A57)</f>
        <v>39529.8900712996</v>
      </c>
      <c r="G57" s="23" t="n">
        <f aca="false">INMUEBLES!$D$11*(1+PARÁMETROS!$B$10)^($B$11+A57)</f>
        <v>0</v>
      </c>
      <c r="H57" s="23" t="n">
        <f aca="false">MAX(0,E57-F57-G57)</f>
        <v>5210.2428079748</v>
      </c>
      <c r="I57" s="23" t="n">
        <f aca="false">MAX(0,D57*(1+PARÁMETROS!$B$20)-H57)</f>
        <v>593732.405053339</v>
      </c>
      <c r="J57" s="23" t="n">
        <f aca="false">N56</f>
        <v>600284.899177804</v>
      </c>
      <c r="K57" s="23" t="n">
        <f aca="false">(PARÁMETROS!$B$15-DECISIONES!$B$7)*12*(1+PARÁMETROS!$B$10)^($B$11+A57)-IF(($B$11+A57)&gt;DECISIONES!$B$14,DECISIONES!$B$19*12*(1+PARÁMETROS!$B$10)^($B$11+A57),0)</f>
        <v>21699.8540948598</v>
      </c>
      <c r="L57" s="23" t="n">
        <f aca="false">IF(AND(($B$11+A57)&gt;=DECISIONES!$B$14,($B$11+A57)&lt;DECISIONES!$B$14+DECISIONES!$B$18),DECISIONES!$B$17*12,0)</f>
        <v>0</v>
      </c>
      <c r="M57" s="23" t="n">
        <f aca="false">MAX(0,K57+L57-F57-G57)</f>
        <v>0</v>
      </c>
      <c r="N57" s="23" t="n">
        <f aca="false">MAX(0,J57*(1+PARÁMETROS!$B$20)-M57)</f>
        <v>618293.446153138</v>
      </c>
    </row>
    <row r="58" customFormat="false" ht="15" hidden="false" customHeight="false" outlineLevel="0" collapsed="false">
      <c r="A58" s="86" t="n">
        <v>8</v>
      </c>
      <c r="B58" s="26" t="n">
        <f aca="false">PARÁMETROS!$B$5+A58</f>
        <v>75</v>
      </c>
      <c r="C58" s="26" t="n">
        <f aca="false">PARÁMETROS!$B$6+($B$11+A58)</f>
        <v>2060</v>
      </c>
      <c r="D58" s="23" t="n">
        <f aca="false">I57</f>
        <v>593732.405053339</v>
      </c>
      <c r="E58" s="23" t="n">
        <f aca="false">PARÁMETROS!$B$15*12*(1+PARÁMETROS!$B$10)^($B$11+A58)</f>
        <v>45858.6362012563</v>
      </c>
      <c r="F58" s="23" t="n">
        <f aca="false">PARÁMETROS!$B$17*14*(1+PARÁMETROS!$B$10)^($B$11+A58)</f>
        <v>40518.1373230821</v>
      </c>
      <c r="G58" s="23" t="n">
        <f aca="false">INMUEBLES!$D$11*(1+PARÁMETROS!$B$10)^($B$11+A58)</f>
        <v>0</v>
      </c>
      <c r="H58" s="23" t="n">
        <f aca="false">MAX(0,E58-F58-G58)</f>
        <v>5340.49887817417</v>
      </c>
      <c r="I58" s="23" t="n">
        <f aca="false">MAX(0,D58*(1+PARÁMETROS!$B$20)-H58)</f>
        <v>606203.878326765</v>
      </c>
      <c r="J58" s="23" t="n">
        <f aca="false">N57</f>
        <v>618293.446153138</v>
      </c>
      <c r="K58" s="23" t="n">
        <f aca="false">(PARÁMETROS!$B$15-DECISIONES!$B$7)*12*(1+PARÁMETROS!$B$10)^($B$11+A58)-IF(($B$11+A58)&gt;DECISIONES!$B$14,DECISIONES!$B$19*12*(1+PARÁMETROS!$B$10)^($B$11+A58),0)</f>
        <v>22242.3504472313</v>
      </c>
      <c r="L58" s="23" t="n">
        <f aca="false">IF(AND(($B$11+A58)&gt;=DECISIONES!$B$14,($B$11+A58)&lt;DECISIONES!$B$14+DECISIONES!$B$18),DECISIONES!$B$17*12,0)</f>
        <v>0</v>
      </c>
      <c r="M58" s="23" t="n">
        <f aca="false">MAX(0,K58+L58-F58-G58)</f>
        <v>0</v>
      </c>
      <c r="N58" s="23" t="n">
        <f aca="false">MAX(0,J58*(1+PARÁMETROS!$B$20)-M58)</f>
        <v>636842.249537732</v>
      </c>
    </row>
    <row r="59" customFormat="false" ht="15" hidden="false" customHeight="false" outlineLevel="0" collapsed="false">
      <c r="A59" s="86" t="n">
        <v>9</v>
      </c>
      <c r="B59" s="26" t="n">
        <f aca="false">PARÁMETROS!$B$5+A59</f>
        <v>76</v>
      </c>
      <c r="C59" s="26" t="n">
        <f aca="false">PARÁMETROS!$B$6+($B$11+A59)</f>
        <v>2061</v>
      </c>
      <c r="D59" s="23" t="n">
        <f aca="false">I58</f>
        <v>606203.878326765</v>
      </c>
      <c r="E59" s="23" t="n">
        <f aca="false">PARÁMETROS!$B$15*12*(1+PARÁMETROS!$B$10)^($B$11+A59)</f>
        <v>47005.1021062877</v>
      </c>
      <c r="F59" s="23" t="n">
        <f aca="false">PARÁMETROS!$B$17*14*(1+PARÁMETROS!$B$10)^($B$11+A59)</f>
        <v>41531.0907561592</v>
      </c>
      <c r="G59" s="23" t="n">
        <f aca="false">INMUEBLES!$D$11*(1+PARÁMETROS!$B$10)^($B$11+A59)</f>
        <v>0</v>
      </c>
      <c r="H59" s="23" t="n">
        <f aca="false">MAX(0,E59-F59-G59)</f>
        <v>5474.01135012852</v>
      </c>
      <c r="I59" s="23" t="n">
        <f aca="false">MAX(0,D59*(1+PARÁMETROS!$B$20)-H59)</f>
        <v>618915.983326439</v>
      </c>
      <c r="J59" s="23" t="n">
        <f aca="false">N58</f>
        <v>636842.249537732</v>
      </c>
      <c r="K59" s="23" t="n">
        <f aca="false">(PARÁMETROS!$B$15-DECISIONES!$B$7)*12*(1+PARÁMETROS!$B$10)^($B$11+A59)-IF(($B$11+A59)&gt;DECISIONES!$B$14,DECISIONES!$B$19*12*(1+PARÁMETROS!$B$10)^($B$11+A59),0)</f>
        <v>22798.4092084121</v>
      </c>
      <c r="L59" s="23" t="n">
        <f aca="false">IF(AND(($B$11+A59)&gt;=DECISIONES!$B$14,($B$11+A59)&lt;DECISIONES!$B$14+DECISIONES!$B$18),DECISIONES!$B$17*12,0)</f>
        <v>0</v>
      </c>
      <c r="M59" s="23" t="n">
        <f aca="false">MAX(0,K59+L59-F59-G59)</f>
        <v>0</v>
      </c>
      <c r="N59" s="23" t="n">
        <f aca="false">MAX(0,J59*(1+PARÁMETROS!$B$20)-M59)</f>
        <v>655947.517023864</v>
      </c>
    </row>
    <row r="60" customFormat="false" ht="15" hidden="false" customHeight="false" outlineLevel="0" collapsed="false">
      <c r="A60" s="86" t="n">
        <v>10</v>
      </c>
      <c r="B60" s="26" t="n">
        <f aca="false">PARÁMETROS!$B$5+A60</f>
        <v>77</v>
      </c>
      <c r="C60" s="26" t="n">
        <f aca="false">PARÁMETROS!$B$6+($B$11+A60)</f>
        <v>2062</v>
      </c>
      <c r="D60" s="23" t="n">
        <f aca="false">I59</f>
        <v>618915.983326439</v>
      </c>
      <c r="E60" s="23" t="n">
        <f aca="false">PARÁMETROS!$B$15*12*(1+PARÁMETROS!$B$10)^($B$11+A60)</f>
        <v>48180.2296589449</v>
      </c>
      <c r="F60" s="23" t="n">
        <f aca="false">PARÁMETROS!$B$17*14*(1+PARÁMETROS!$B$10)^($B$11+A60)</f>
        <v>42569.3680250631</v>
      </c>
      <c r="G60" s="23" t="n">
        <f aca="false">INMUEBLES!$D$11*(1+PARÁMETROS!$B$10)^($B$11+A60)</f>
        <v>0</v>
      </c>
      <c r="H60" s="23" t="n">
        <f aca="false">MAX(0,E60-F60-G60)</f>
        <v>5610.86163388174</v>
      </c>
      <c r="I60" s="23" t="n">
        <f aca="false">MAX(0,D60*(1+PARÁMETROS!$B$20)-H60)</f>
        <v>631872.601192351</v>
      </c>
      <c r="J60" s="23" t="n">
        <f aca="false">N59</f>
        <v>655947.517023864</v>
      </c>
      <c r="K60" s="23" t="n">
        <f aca="false">(PARÁMETROS!$B$15-DECISIONES!$B$7)*12*(1+PARÁMETROS!$B$10)^($B$11+A60)-IF(($B$11+A60)&gt;DECISIONES!$B$14,DECISIONES!$B$19*12*(1+PARÁMETROS!$B$10)^($B$11+A60),0)</f>
        <v>23368.3694386224</v>
      </c>
      <c r="L60" s="23" t="n">
        <f aca="false">IF(AND(($B$11+A60)&gt;=DECISIONES!$B$14,($B$11+A60)&lt;DECISIONES!$B$14+DECISIONES!$B$18),DECISIONES!$B$17*12,0)</f>
        <v>0</v>
      </c>
      <c r="M60" s="23" t="n">
        <f aca="false">MAX(0,K60+L60-F60-G60)</f>
        <v>0</v>
      </c>
      <c r="N60" s="23" t="n">
        <f aca="false">MAX(0,J60*(1+PARÁMETROS!$B$20)-M60)</f>
        <v>675625.94253458</v>
      </c>
    </row>
    <row r="61" customFormat="false" ht="15" hidden="false" customHeight="false" outlineLevel="0" collapsed="false">
      <c r="A61" s="86" t="n">
        <v>11</v>
      </c>
      <c r="B61" s="26" t="n">
        <f aca="false">PARÁMETROS!$B$5+A61</f>
        <v>78</v>
      </c>
      <c r="C61" s="26" t="n">
        <f aca="false">PARÁMETROS!$B$6+($B$11+A61)</f>
        <v>2063</v>
      </c>
      <c r="D61" s="23" t="n">
        <f aca="false">I60</f>
        <v>631872.601192351</v>
      </c>
      <c r="E61" s="23" t="n">
        <f aca="false">PARÁMETROS!$B$15*12*(1+PARÁMETROS!$B$10)^($B$11+A61)</f>
        <v>49384.7354004185</v>
      </c>
      <c r="F61" s="23" t="n">
        <f aca="false">PARÁMETROS!$B$17*14*(1+PARÁMETROS!$B$10)^($B$11+A61)</f>
        <v>43633.6022256897</v>
      </c>
      <c r="G61" s="23" t="n">
        <f aca="false">INMUEBLES!$D$11*(1+PARÁMETROS!$B$10)^($B$11+A61)</f>
        <v>0</v>
      </c>
      <c r="H61" s="23" t="n">
        <f aca="false">MAX(0,E61-F61-G61)</f>
        <v>5751.13317472878</v>
      </c>
      <c r="I61" s="23" t="n">
        <f aca="false">MAX(0,D61*(1+PARÁMETROS!$B$20)-H61)</f>
        <v>645077.646053393</v>
      </c>
      <c r="J61" s="23" t="n">
        <f aca="false">N60</f>
        <v>675625.94253458</v>
      </c>
      <c r="K61" s="23" t="n">
        <f aca="false">(PARÁMETROS!$B$15-DECISIONES!$B$7)*12*(1+PARÁMETROS!$B$10)^($B$11+A61)-IF(($B$11+A61)&gt;DECISIONES!$B$14,DECISIONES!$B$19*12*(1+PARÁMETROS!$B$10)^($B$11+A61),0)</f>
        <v>23952.5786745879</v>
      </c>
      <c r="L61" s="23" t="n">
        <f aca="false">IF(AND(($B$11+A61)&gt;=DECISIONES!$B$14,($B$11+A61)&lt;DECISIONES!$B$14+DECISIONES!$B$18),DECISIONES!$B$17*12,0)</f>
        <v>0</v>
      </c>
      <c r="M61" s="23" t="n">
        <f aca="false">MAX(0,K61+L61-F61-G61)</f>
        <v>0</v>
      </c>
      <c r="N61" s="23" t="n">
        <f aca="false">MAX(0,J61*(1+PARÁMETROS!$B$20)-M61)</f>
        <v>695894.720810617</v>
      </c>
    </row>
    <row r="62" customFormat="false" ht="15" hidden="false" customHeight="false" outlineLevel="0" collapsed="false">
      <c r="A62" s="86" t="n">
        <v>12</v>
      </c>
      <c r="B62" s="26" t="n">
        <f aca="false">PARÁMETROS!$B$5+A62</f>
        <v>79</v>
      </c>
      <c r="C62" s="26" t="n">
        <f aca="false">PARÁMETROS!$B$6+($B$11+A62)</f>
        <v>2064</v>
      </c>
      <c r="D62" s="23" t="n">
        <f aca="false">I61</f>
        <v>645077.646053393</v>
      </c>
      <c r="E62" s="23" t="n">
        <f aca="false">PARÁMETROS!$B$15*12*(1+PARÁMETROS!$B$10)^($B$11+A62)</f>
        <v>50619.3537854289</v>
      </c>
      <c r="F62" s="23" t="n">
        <f aca="false">PARÁMETROS!$B$17*14*(1+PARÁMETROS!$B$10)^($B$11+A62)</f>
        <v>44724.4422813319</v>
      </c>
      <c r="G62" s="23" t="n">
        <f aca="false">INMUEBLES!$D$11*(1+PARÁMETROS!$B$10)^($B$11+A62)</f>
        <v>0</v>
      </c>
      <c r="H62" s="23" t="n">
        <f aca="false">MAX(0,E62-F62-G62)</f>
        <v>5894.911504097</v>
      </c>
      <c r="I62" s="23" t="n">
        <f aca="false">MAX(0,D62*(1+PARÁMETROS!$B$20)-H62)</f>
        <v>658535.063930897</v>
      </c>
      <c r="J62" s="23" t="n">
        <f aca="false">N61</f>
        <v>695894.720810617</v>
      </c>
      <c r="K62" s="23" t="n">
        <f aca="false">(PARÁMETROS!$B$15-DECISIONES!$B$7)*12*(1+PARÁMETROS!$B$10)^($B$11+A62)-IF(($B$11+A62)&gt;DECISIONES!$B$14,DECISIONES!$B$19*12*(1+PARÁMETROS!$B$10)^($B$11+A62),0)</f>
        <v>24551.3931414526</v>
      </c>
      <c r="L62" s="23" t="n">
        <f aca="false">IF(AND(($B$11+A62)&gt;=DECISIONES!$B$14,($B$11+A62)&lt;DECISIONES!$B$14+DECISIONES!$B$18),DECISIONES!$B$17*12,0)</f>
        <v>0</v>
      </c>
      <c r="M62" s="23" t="n">
        <f aca="false">MAX(0,K62+L62-F62-G62)</f>
        <v>0</v>
      </c>
      <c r="N62" s="23" t="n">
        <f aca="false">MAX(0,J62*(1+PARÁMETROS!$B$20)-M62)</f>
        <v>716771.562434936</v>
      </c>
    </row>
    <row r="63" customFormat="false" ht="15" hidden="false" customHeight="false" outlineLevel="0" collapsed="false">
      <c r="A63" s="86" t="n">
        <v>13</v>
      </c>
      <c r="B63" s="26" t="n">
        <f aca="false">PARÁMETROS!$B$5+A63</f>
        <v>80</v>
      </c>
      <c r="C63" s="26" t="n">
        <f aca="false">PARÁMETROS!$B$6+($B$11+A63)</f>
        <v>2065</v>
      </c>
      <c r="D63" s="23" t="n">
        <f aca="false">I62</f>
        <v>658535.063930897</v>
      </c>
      <c r="E63" s="23" t="n">
        <f aca="false">PARÁMETROS!$B$15*12*(1+PARÁMETROS!$B$10)^($B$11+A63)</f>
        <v>51884.8376300647</v>
      </c>
      <c r="F63" s="23" t="n">
        <f aca="false">PARÁMETROS!$B$17*14*(1+PARÁMETROS!$B$10)^($B$11+A63)</f>
        <v>45842.5533383652</v>
      </c>
      <c r="G63" s="23" t="n">
        <f aca="false">INMUEBLES!$D$11*(1+PARÁMETROS!$B$10)^($B$11+A63)</f>
        <v>0</v>
      </c>
      <c r="H63" s="23" t="n">
        <f aca="false">MAX(0,E63-F63-G63)</f>
        <v>6042.28429169942</v>
      </c>
      <c r="I63" s="23" t="n">
        <f aca="false">MAX(0,D63*(1+PARÁMETROS!$B$20)-H63)</f>
        <v>672248.831557125</v>
      </c>
      <c r="J63" s="23" t="n">
        <f aca="false">N62</f>
        <v>716771.562434936</v>
      </c>
      <c r="K63" s="23" t="n">
        <f aca="false">(PARÁMETROS!$B$15-DECISIONES!$B$7)*12*(1+PARÁMETROS!$B$10)^($B$11+A63)-IF(($B$11+A63)&gt;DECISIONES!$B$14,DECISIONES!$B$19*12*(1+PARÁMETROS!$B$10)^($B$11+A63),0)</f>
        <v>25165.1779699889</v>
      </c>
      <c r="L63" s="23" t="n">
        <f aca="false">IF(AND(($B$11+A63)&gt;=DECISIONES!$B$14,($B$11+A63)&lt;DECISIONES!$B$14+DECISIONES!$B$18),DECISIONES!$B$17*12,0)</f>
        <v>0</v>
      </c>
      <c r="M63" s="23" t="n">
        <f aca="false">MAX(0,K63+L63-F63-G63)</f>
        <v>0</v>
      </c>
      <c r="N63" s="23" t="n">
        <f aca="false">MAX(0,J63*(1+PARÁMETROS!$B$20)-M63)</f>
        <v>738274.709307984</v>
      </c>
    </row>
    <row r="64" customFormat="false" ht="15" hidden="false" customHeight="false" outlineLevel="0" collapsed="false">
      <c r="A64" s="86" t="n">
        <v>14</v>
      </c>
      <c r="B64" s="26" t="n">
        <f aca="false">PARÁMETROS!$B$5+A64</f>
        <v>81</v>
      </c>
      <c r="C64" s="26" t="n">
        <f aca="false">PARÁMETROS!$B$6+($B$11+A64)</f>
        <v>2066</v>
      </c>
      <c r="D64" s="23" t="n">
        <f aca="false">I63</f>
        <v>672248.831557125</v>
      </c>
      <c r="E64" s="23" t="n">
        <f aca="false">PARÁMETROS!$B$15*12*(1+PARÁMETROS!$B$10)^($B$11+A64)</f>
        <v>53181.9585708163</v>
      </c>
      <c r="F64" s="23" t="n">
        <f aca="false">PARÁMETROS!$B$17*14*(1+PARÁMETROS!$B$10)^($B$11+A64)</f>
        <v>46988.6171718244</v>
      </c>
      <c r="G64" s="23" t="n">
        <f aca="false">INMUEBLES!$D$11*(1+PARÁMETROS!$B$10)^($B$11+A64)</f>
        <v>0</v>
      </c>
      <c r="H64" s="23" t="n">
        <f aca="false">MAX(0,E64-F64-G64)</f>
        <v>6193.34139899191</v>
      </c>
      <c r="I64" s="23" t="n">
        <f aca="false">MAX(0,D64*(1+PARÁMETROS!$B$20)-H64)</f>
        <v>686222.955104847</v>
      </c>
      <c r="J64" s="23" t="n">
        <f aca="false">N63</f>
        <v>738274.709307984</v>
      </c>
      <c r="K64" s="23" t="n">
        <f aca="false">(PARÁMETROS!$B$15-DECISIONES!$B$7)*12*(1+PARÁMETROS!$B$10)^($B$11+A64)-IF(($B$11+A64)&gt;DECISIONES!$B$14,DECISIONES!$B$19*12*(1+PARÁMETROS!$B$10)^($B$11+A64),0)</f>
        <v>25794.3074192386</v>
      </c>
      <c r="L64" s="23" t="n">
        <f aca="false">IF(AND(($B$11+A64)&gt;=DECISIONES!$B$14,($B$11+A64)&lt;DECISIONES!$B$14+DECISIONES!$B$18),DECISIONES!$B$17*12,0)</f>
        <v>0</v>
      </c>
      <c r="M64" s="23" t="n">
        <f aca="false">MAX(0,K64+L64-F64-G64)</f>
        <v>0</v>
      </c>
      <c r="N64" s="23" t="n">
        <f aca="false">MAX(0,J64*(1+PARÁMETROS!$B$20)-M64)</f>
        <v>760422.950587223</v>
      </c>
    </row>
    <row r="65" customFormat="false" ht="15" hidden="false" customHeight="false" outlineLevel="0" collapsed="false">
      <c r="A65" s="86" t="n">
        <v>15</v>
      </c>
      <c r="B65" s="26" t="n">
        <f aca="false">PARÁMETROS!$B$5+A65</f>
        <v>82</v>
      </c>
      <c r="C65" s="26" t="n">
        <f aca="false">PARÁMETROS!$B$6+($B$11+A65)</f>
        <v>2067</v>
      </c>
      <c r="D65" s="23" t="n">
        <f aca="false">I64</f>
        <v>686222.955104847</v>
      </c>
      <c r="E65" s="23" t="n">
        <f aca="false">PARÁMETROS!$B$15*12*(1+PARÁMETROS!$B$10)^($B$11+A65)</f>
        <v>54511.5075350867</v>
      </c>
      <c r="F65" s="23" t="n">
        <f aca="false">PARÁMETROS!$B$17*14*(1+PARÁMETROS!$B$10)^($B$11+A65)</f>
        <v>48163.33260112</v>
      </c>
      <c r="G65" s="23" t="n">
        <f aca="false">INMUEBLES!$D$11*(1+PARÁMETROS!$B$10)^($B$11+A65)</f>
        <v>0</v>
      </c>
      <c r="H65" s="23" t="n">
        <f aca="false">MAX(0,E65-F65-G65)</f>
        <v>6348.1749339667</v>
      </c>
      <c r="I65" s="23" t="n">
        <f aca="false">MAX(0,D65*(1+PARÁMETROS!$B$20)-H65)</f>
        <v>700461.468824026</v>
      </c>
      <c r="J65" s="23" t="n">
        <f aca="false">N64</f>
        <v>760422.950587223</v>
      </c>
      <c r="K65" s="23" t="n">
        <f aca="false">(PARÁMETROS!$B$15-DECISIONES!$B$7)*12*(1+PARÁMETROS!$B$10)^($B$11+A65)-IF(($B$11+A65)&gt;DECISIONES!$B$14,DECISIONES!$B$19*12*(1+PARÁMETROS!$B$10)^($B$11+A65),0)</f>
        <v>26439.1651047196</v>
      </c>
      <c r="L65" s="23" t="n">
        <f aca="false">IF(AND(($B$11+A65)&gt;=DECISIONES!$B$14,($B$11+A65)&lt;DECISIONES!$B$14+DECISIONES!$B$18),DECISIONES!$B$17*12,0)</f>
        <v>0</v>
      </c>
      <c r="M65" s="23" t="n">
        <f aca="false">MAX(0,K65+L65-F65-G65)</f>
        <v>0</v>
      </c>
      <c r="N65" s="23" t="n">
        <f aca="false">MAX(0,J65*(1+PARÁMETROS!$B$20)-M65)</f>
        <v>783235.63910484</v>
      </c>
    </row>
    <row r="66" customFormat="false" ht="15" hidden="false" customHeight="false" outlineLevel="0" collapsed="false">
      <c r="A66" s="86" t="n">
        <v>16</v>
      </c>
      <c r="B66" s="26" t="n">
        <f aca="false">PARÁMETROS!$B$5+A66</f>
        <v>83</v>
      </c>
      <c r="C66" s="26" t="n">
        <f aca="false">PARÁMETROS!$B$6+($B$11+A66)</f>
        <v>2068</v>
      </c>
      <c r="D66" s="23" t="n">
        <f aca="false">I65</f>
        <v>700461.468824026</v>
      </c>
      <c r="E66" s="23" t="n">
        <f aca="false">PARÁMETROS!$B$15*12*(1+PARÁMETROS!$B$10)^($B$11+A66)</f>
        <v>55874.2952234638</v>
      </c>
      <c r="F66" s="23" t="n">
        <f aca="false">PARÁMETROS!$B$17*14*(1+PARÁMETROS!$B$10)^($B$11+A66)</f>
        <v>49367.415916148</v>
      </c>
      <c r="G66" s="23" t="n">
        <f aca="false">INMUEBLES!$D$11*(1+PARÁMETROS!$B$10)^($B$11+A66)</f>
        <v>0</v>
      </c>
      <c r="H66" s="23" t="n">
        <f aca="false">MAX(0,E66-F66-G66)</f>
        <v>6506.87930731587</v>
      </c>
      <c r="I66" s="23" t="n">
        <f aca="false">MAX(0,D66*(1+PARÁMETROS!$B$20)-H66)</f>
        <v>714968.433581431</v>
      </c>
      <c r="J66" s="23" t="n">
        <f aca="false">N65</f>
        <v>783235.63910484</v>
      </c>
      <c r="K66" s="23" t="n">
        <f aca="false">(PARÁMETROS!$B$15-DECISIONES!$B$7)*12*(1+PARÁMETROS!$B$10)^($B$11+A66)-IF(($B$11+A66)&gt;DECISIONES!$B$14,DECISIONES!$B$19*12*(1+PARÁMETROS!$B$10)^($B$11+A66),0)</f>
        <v>27100.1442323376</v>
      </c>
      <c r="L66" s="23" t="n">
        <f aca="false">IF(AND(($B$11+A66)&gt;=DECISIONES!$B$14,($B$11+A66)&lt;DECISIONES!$B$14+DECISIONES!$B$18),DECISIONES!$B$17*12,0)</f>
        <v>0</v>
      </c>
      <c r="M66" s="23" t="n">
        <f aca="false">MAX(0,K66+L66-F66-G66)</f>
        <v>0</v>
      </c>
      <c r="N66" s="23" t="n">
        <f aca="false">MAX(0,J66*(1+PARÁMETROS!$B$20)-M66)</f>
        <v>806732.708277985</v>
      </c>
    </row>
    <row r="67" customFormat="false" ht="15" hidden="false" customHeight="false" outlineLevel="0" collapsed="false">
      <c r="A67" s="86" t="n">
        <v>17</v>
      </c>
      <c r="B67" s="26" t="n">
        <f aca="false">PARÁMETROS!$B$5+A67</f>
        <v>84</v>
      </c>
      <c r="C67" s="26" t="n">
        <f aca="false">PARÁMETROS!$B$6+($B$11+A67)</f>
        <v>2069</v>
      </c>
      <c r="D67" s="23" t="n">
        <f aca="false">I66</f>
        <v>714968.433581431</v>
      </c>
      <c r="E67" s="23" t="n">
        <f aca="false">PARÁMETROS!$B$15*12*(1+PARÁMETROS!$B$10)^($B$11+A67)</f>
        <v>57271.1526040504</v>
      </c>
      <c r="F67" s="23" t="n">
        <f aca="false">PARÁMETROS!$B$17*14*(1+PARÁMETROS!$B$10)^($B$11+A67)</f>
        <v>50601.6013140517</v>
      </c>
      <c r="G67" s="23" t="n">
        <f aca="false">INMUEBLES!$D$11*(1+PARÁMETROS!$B$10)^($B$11+A67)</f>
        <v>0</v>
      </c>
      <c r="H67" s="23" t="n">
        <f aca="false">MAX(0,E67-F67-G67)</f>
        <v>6669.55128999877</v>
      </c>
      <c r="I67" s="23" t="n">
        <f aca="false">MAX(0,D67*(1+PARÁMETROS!$B$20)-H67)</f>
        <v>729747.935298875</v>
      </c>
      <c r="J67" s="23" t="n">
        <f aca="false">N66</f>
        <v>806732.708277985</v>
      </c>
      <c r="K67" s="23" t="n">
        <f aca="false">(PARÁMETROS!$B$15-DECISIONES!$B$7)*12*(1+PARÁMETROS!$B$10)^($B$11+A67)-IF(($B$11+A67)&gt;DECISIONES!$B$14,DECISIONES!$B$19*12*(1+PARÁMETROS!$B$10)^($B$11+A67),0)</f>
        <v>27777.647838146</v>
      </c>
      <c r="L67" s="23" t="n">
        <f aca="false">IF(AND(($B$11+A67)&gt;=DECISIONES!$B$14,($B$11+A67)&lt;DECISIONES!$B$14+DECISIONES!$B$18),DECISIONES!$B$17*12,0)</f>
        <v>0</v>
      </c>
      <c r="M67" s="23" t="n">
        <f aca="false">MAX(0,K67+L67-F67-G67)</f>
        <v>0</v>
      </c>
      <c r="N67" s="23" t="n">
        <f aca="false">MAX(0,J67*(1+PARÁMETROS!$B$20)-M67)</f>
        <v>830934.689526325</v>
      </c>
    </row>
    <row r="68" customFormat="false" ht="15" hidden="false" customHeight="false" outlineLevel="0" collapsed="false">
      <c r="A68" s="86" t="n">
        <v>18</v>
      </c>
      <c r="B68" s="26" t="n">
        <f aca="false">PARÁMETROS!$B$5+A68</f>
        <v>85</v>
      </c>
      <c r="C68" s="26" t="n">
        <f aca="false">PARÁMETROS!$B$6+($B$11+A68)</f>
        <v>2070</v>
      </c>
      <c r="D68" s="23" t="n">
        <f aca="false">I67</f>
        <v>729747.935298875</v>
      </c>
      <c r="E68" s="23" t="n">
        <f aca="false">PARÁMETROS!$B$15*12*(1+PARÁMETROS!$B$10)^($B$11+A68)</f>
        <v>58702.9314191517</v>
      </c>
      <c r="F68" s="23" t="n">
        <f aca="false">PARÁMETROS!$B$17*14*(1+PARÁMETROS!$B$10)^($B$11+A68)</f>
        <v>51866.6413469029</v>
      </c>
      <c r="G68" s="23" t="n">
        <f aca="false">INMUEBLES!$D$11*(1+PARÁMETROS!$B$10)^($B$11+A68)</f>
        <v>0</v>
      </c>
      <c r="H68" s="23" t="n">
        <f aca="false">MAX(0,E68-F68-G68)</f>
        <v>6836.29007224873</v>
      </c>
      <c r="I68" s="23" t="n">
        <f aca="false">MAX(0,D68*(1+PARÁMETROS!$B$20)-H68)</f>
        <v>744804.083285592</v>
      </c>
      <c r="J68" s="23" t="n">
        <f aca="false">N67</f>
        <v>830934.689526325</v>
      </c>
      <c r="K68" s="23" t="n">
        <f aca="false">(PARÁMETROS!$B$15-DECISIONES!$B$7)*12*(1+PARÁMETROS!$B$10)^($B$11+A68)-IF(($B$11+A68)&gt;DECISIONES!$B$14,DECISIONES!$B$19*12*(1+PARÁMETROS!$B$10)^($B$11+A68),0)</f>
        <v>28472.0890340997</v>
      </c>
      <c r="L68" s="23" t="n">
        <f aca="false">IF(AND(($B$11+A68)&gt;=DECISIONES!$B$14,($B$11+A68)&lt;DECISIONES!$B$14+DECISIONES!$B$18),DECISIONES!$B$17*12,0)</f>
        <v>0</v>
      </c>
      <c r="M68" s="23" t="n">
        <f aca="false">MAX(0,K68+L68-F68-G68)</f>
        <v>0</v>
      </c>
      <c r="N68" s="23" t="n">
        <f aca="false">MAX(0,J68*(1+PARÁMETROS!$B$20)-M68)</f>
        <v>855862.730212115</v>
      </c>
    </row>
    <row r="69" customFormat="false" ht="15" hidden="false" customHeight="false" outlineLevel="0" collapsed="false">
      <c r="A69" s="86" t="n">
        <v>19</v>
      </c>
      <c r="B69" s="26" t="n">
        <f aca="false">PARÁMETROS!$B$5+A69</f>
        <v>86</v>
      </c>
      <c r="C69" s="26" t="n">
        <f aca="false">PARÁMETROS!$B$6+($B$11+A69)</f>
        <v>2071</v>
      </c>
      <c r="D69" s="23" t="n">
        <f aca="false">I68</f>
        <v>744804.083285592</v>
      </c>
      <c r="E69" s="23" t="n">
        <f aca="false">PARÁMETROS!$B$15*12*(1+PARÁMETROS!$B$10)^($B$11+A69)</f>
        <v>60170.5047046305</v>
      </c>
      <c r="F69" s="23" t="n">
        <f aca="false">PARÁMETROS!$B$17*14*(1+PARÁMETROS!$B$10)^($B$11+A69)</f>
        <v>53163.3073805755</v>
      </c>
      <c r="G69" s="23" t="n">
        <f aca="false">INMUEBLES!$D$11*(1+PARÁMETROS!$B$10)^($B$11+A69)</f>
        <v>0</v>
      </c>
      <c r="H69" s="23" t="n">
        <f aca="false">MAX(0,E69-F69-G69)</f>
        <v>7007.19732405496</v>
      </c>
      <c r="I69" s="23" t="n">
        <f aca="false">MAX(0,D69*(1+PARÁMETROS!$B$20)-H69)</f>
        <v>760141.008460105</v>
      </c>
      <c r="J69" s="23" t="n">
        <f aca="false">N68</f>
        <v>855862.730212115</v>
      </c>
      <c r="K69" s="23" t="n">
        <f aca="false">(PARÁMETROS!$B$15-DECISIONES!$B$7)*12*(1+PARÁMETROS!$B$10)^($B$11+A69)-IF(($B$11+A69)&gt;DECISIONES!$B$14,DECISIONES!$B$19*12*(1+PARÁMETROS!$B$10)^($B$11+A69),0)</f>
        <v>29183.8912599522</v>
      </c>
      <c r="L69" s="23" t="n">
        <f aca="false">IF(AND(($B$11+A69)&gt;=DECISIONES!$B$14,($B$11+A69)&lt;DECISIONES!$B$14+DECISIONES!$B$18),DECISIONES!$B$17*12,0)</f>
        <v>0</v>
      </c>
      <c r="M69" s="23" t="n">
        <f aca="false">MAX(0,K69+L69-F69-G69)</f>
        <v>0</v>
      </c>
      <c r="N69" s="23" t="n">
        <f aca="false">MAX(0,J69*(1+PARÁMETROS!$B$20)-M69)</f>
        <v>881538.612118478</v>
      </c>
    </row>
    <row r="70" customFormat="false" ht="15" hidden="false" customHeight="false" outlineLevel="0" collapsed="false">
      <c r="A70" s="86" t="n">
        <v>20</v>
      </c>
      <c r="B70" s="26" t="n">
        <f aca="false">PARÁMETROS!$B$5+A70</f>
        <v>87</v>
      </c>
      <c r="C70" s="26" t="n">
        <f aca="false">PARÁMETROS!$B$6+($B$11+A70)</f>
        <v>2072</v>
      </c>
      <c r="D70" s="23" t="n">
        <f aca="false">I69</f>
        <v>760141.008460105</v>
      </c>
      <c r="E70" s="23" t="n">
        <f aca="false">PARÁMETROS!$B$15*12*(1+PARÁMETROS!$B$10)^($B$11+A70)</f>
        <v>61674.7673222462</v>
      </c>
      <c r="F70" s="23" t="n">
        <f aca="false">PARÁMETROS!$B$17*14*(1+PARÁMETROS!$B$10)^($B$11+A70)</f>
        <v>54492.3900650899</v>
      </c>
      <c r="G70" s="23" t="n">
        <f aca="false">INMUEBLES!$D$11*(1+PARÁMETROS!$B$10)^($B$11+A70)</f>
        <v>0</v>
      </c>
      <c r="H70" s="23" t="n">
        <f aca="false">MAX(0,E70-F70-G70)</f>
        <v>7182.37725715632</v>
      </c>
      <c r="I70" s="23" t="n">
        <f aca="false">MAX(0,D70*(1+PARÁMETROS!$B$20)-H70)</f>
        <v>775762.861456752</v>
      </c>
      <c r="J70" s="23" t="n">
        <f aca="false">N69</f>
        <v>881538.612118478</v>
      </c>
      <c r="K70" s="23" t="n">
        <f aca="false">(PARÁMETROS!$B$15-DECISIONES!$B$7)*12*(1+PARÁMETROS!$B$10)^($B$11+A70)-IF(($B$11+A70)&gt;DECISIONES!$B$14,DECISIONES!$B$19*12*(1+PARÁMETROS!$B$10)^($B$11+A70),0)</f>
        <v>29913.488541451</v>
      </c>
      <c r="L70" s="23" t="n">
        <f aca="false">IF(AND(($B$11+A70)&gt;=DECISIONES!$B$14,($B$11+A70)&lt;DECISIONES!$B$14+DECISIONES!$B$18),DECISIONES!$B$17*12,0)</f>
        <v>0</v>
      </c>
      <c r="M70" s="23" t="n">
        <f aca="false">MAX(0,K70+L70-F70-G70)</f>
        <v>0</v>
      </c>
      <c r="N70" s="23" t="n">
        <f aca="false">MAX(0,J70*(1+PARÁMETROS!$B$20)-M70)</f>
        <v>907984.770482033</v>
      </c>
    </row>
    <row r="71" customFormat="false" ht="15" hidden="false" customHeight="false" outlineLevel="0" collapsed="false">
      <c r="A71" s="86" t="n">
        <v>21</v>
      </c>
      <c r="B71" s="26" t="n">
        <f aca="false">PARÁMETROS!$B$5+A71</f>
        <v>88</v>
      </c>
      <c r="C71" s="26" t="n">
        <f aca="false">PARÁMETROS!$B$6+($B$11+A71)</f>
        <v>2073</v>
      </c>
      <c r="D71" s="23" t="n">
        <f aca="false">I70</f>
        <v>775762.861456752</v>
      </c>
      <c r="E71" s="23" t="n">
        <f aca="false">PARÁMETROS!$B$15*12*(1+PARÁMETROS!$B$10)^($B$11+A71)</f>
        <v>63216.6365053024</v>
      </c>
      <c r="F71" s="23" t="n">
        <f aca="false">PARÁMETROS!$B$17*14*(1+PARÁMETROS!$B$10)^($B$11+A71)</f>
        <v>55854.6998167171</v>
      </c>
      <c r="G71" s="23" t="n">
        <f aca="false">INMUEBLES!$D$11*(1+PARÁMETROS!$B$10)^($B$11+A71)</f>
        <v>0</v>
      </c>
      <c r="H71" s="23" t="n">
        <f aca="false">MAX(0,E71-F71-G71)</f>
        <v>7361.93668858524</v>
      </c>
      <c r="I71" s="23" t="n">
        <f aca="false">MAX(0,D71*(1+PARÁMETROS!$B$20)-H71)</f>
        <v>791673.810611869</v>
      </c>
      <c r="J71" s="23" t="n">
        <f aca="false">N70</f>
        <v>907984.770482033</v>
      </c>
      <c r="K71" s="23" t="n">
        <f aca="false">(PARÁMETROS!$B$15-DECISIONES!$B$7)*12*(1+PARÁMETROS!$B$10)^($B$11+A71)-IF(($B$11+A71)&gt;DECISIONES!$B$14,DECISIONES!$B$19*12*(1+PARÁMETROS!$B$10)^($B$11+A71),0)</f>
        <v>30661.3257549872</v>
      </c>
      <c r="L71" s="23" t="n">
        <f aca="false">IF(AND(($B$11+A71)&gt;=DECISIONES!$B$14,($B$11+A71)&lt;DECISIONES!$B$14+DECISIONES!$B$18),DECISIONES!$B$17*12,0)</f>
        <v>0</v>
      </c>
      <c r="M71" s="23" t="n">
        <f aca="false">MAX(0,K71+L71-F71-G71)</f>
        <v>0</v>
      </c>
      <c r="N71" s="23" t="n">
        <f aca="false">MAX(0,J71*(1+PARÁMETROS!$B$20)-M71)</f>
        <v>935224.313596494</v>
      </c>
    </row>
    <row r="72" customFormat="false" ht="15" hidden="false" customHeight="false" outlineLevel="0" collapsed="false">
      <c r="A72" s="86" t="n">
        <v>22</v>
      </c>
      <c r="B72" s="26" t="n">
        <f aca="false">PARÁMETROS!$B$5+A72</f>
        <v>89</v>
      </c>
      <c r="C72" s="26" t="n">
        <f aca="false">PARÁMETROS!$B$6+($B$11+A72)</f>
        <v>2074</v>
      </c>
      <c r="D72" s="23" t="n">
        <f aca="false">I71</f>
        <v>791673.810611869</v>
      </c>
      <c r="E72" s="23" t="n">
        <f aca="false">PARÁMETROS!$B$15*12*(1+PARÁMETROS!$B$10)^($B$11+A72)</f>
        <v>64797.0524179349</v>
      </c>
      <c r="F72" s="23" t="n">
        <f aca="false">PARÁMETROS!$B$17*14*(1+PARÁMETROS!$B$10)^($B$11+A72)</f>
        <v>57251.0673121351</v>
      </c>
      <c r="G72" s="23" t="n">
        <f aca="false">INMUEBLES!$D$11*(1+PARÁMETROS!$B$10)^($B$11+A72)</f>
        <v>0</v>
      </c>
      <c r="H72" s="23" t="n">
        <f aca="false">MAX(0,E72-F72-G72)</f>
        <v>7545.98510579986</v>
      </c>
      <c r="I72" s="23" t="n">
        <f aca="false">MAX(0,D72*(1+PARÁMETROS!$B$20)-H72)</f>
        <v>807878.039824426</v>
      </c>
      <c r="J72" s="23" t="n">
        <f aca="false">N71</f>
        <v>935224.313596494</v>
      </c>
      <c r="K72" s="23" t="n">
        <f aca="false">(PARÁMETROS!$B$15-DECISIONES!$B$7)*12*(1+PARÁMETROS!$B$10)^($B$11+A72)-IF(($B$11+A72)&gt;DECISIONES!$B$14,DECISIONES!$B$19*12*(1+PARÁMETROS!$B$10)^($B$11+A72),0)</f>
        <v>31427.8588988619</v>
      </c>
      <c r="L72" s="23" t="n">
        <f aca="false">IF(AND(($B$11+A72)&gt;=DECISIONES!$B$14,($B$11+A72)&lt;DECISIONES!$B$14+DECISIONES!$B$18),DECISIONES!$B$17*12,0)</f>
        <v>0</v>
      </c>
      <c r="M72" s="23" t="n">
        <f aca="false">MAX(0,K72+L72-F72-G72)</f>
        <v>0</v>
      </c>
      <c r="N72" s="23" t="n">
        <f aca="false">MAX(0,J72*(1+PARÁMETROS!$B$20)-M72)</f>
        <v>963281.043004388</v>
      </c>
    </row>
    <row r="73" customFormat="false" ht="15" hidden="false" customHeight="false" outlineLevel="0" collapsed="false">
      <c r="A73" s="86" t="n">
        <v>23</v>
      </c>
      <c r="B73" s="26" t="n">
        <f aca="false">PARÁMETROS!$B$5+A73</f>
        <v>90</v>
      </c>
      <c r="C73" s="26" t="n">
        <f aca="false">PARÁMETROS!$B$6+($B$11+A73)</f>
        <v>2075</v>
      </c>
      <c r="D73" s="23" t="n">
        <f aca="false">I72</f>
        <v>807878.039824426</v>
      </c>
      <c r="E73" s="23" t="n">
        <f aca="false">PARÁMETROS!$B$15*12*(1+PARÁMETROS!$B$10)^($B$11+A73)</f>
        <v>66416.9787283833</v>
      </c>
      <c r="F73" s="23" t="n">
        <f aca="false">PARÁMETROS!$B$17*14*(1+PARÁMETROS!$B$10)^($B$11+A73)</f>
        <v>58682.3439949384</v>
      </c>
      <c r="G73" s="23" t="n">
        <f aca="false">INMUEBLES!$D$11*(1+PARÁMETROS!$B$10)^($B$11+A73)</f>
        <v>0</v>
      </c>
      <c r="H73" s="23" t="n">
        <f aca="false">MAX(0,E73-F73-G73)</f>
        <v>7734.63473344485</v>
      </c>
      <c r="I73" s="23" t="n">
        <f aca="false">MAX(0,D73*(1+PARÁMETROS!$B$20)-H73)</f>
        <v>824379.746285713</v>
      </c>
      <c r="J73" s="23" t="n">
        <f aca="false">N72</f>
        <v>963281.043004388</v>
      </c>
      <c r="K73" s="23" t="n">
        <f aca="false">(PARÁMETROS!$B$15-DECISIONES!$B$7)*12*(1+PARÁMETROS!$B$10)^($B$11+A73)-IF(($B$11+A73)&gt;DECISIONES!$B$14,DECISIONES!$B$19*12*(1+PARÁMETROS!$B$10)^($B$11+A73),0)</f>
        <v>32213.5553713335</v>
      </c>
      <c r="L73" s="23" t="n">
        <f aca="false">IF(AND(($B$11+A73)&gt;=DECISIONES!$B$14,($B$11+A73)&lt;DECISIONES!$B$14+DECISIONES!$B$18),DECISIONES!$B$17*12,0)</f>
        <v>0</v>
      </c>
      <c r="M73" s="23" t="n">
        <f aca="false">MAX(0,K73+L73-F73-G73)</f>
        <v>0</v>
      </c>
      <c r="N73" s="23" t="n">
        <f aca="false">MAX(0,J73*(1+PARÁMETROS!$B$20)-M73)</f>
        <v>992179.47429452</v>
      </c>
    </row>
    <row r="74" customFormat="false" ht="15" hidden="false" customHeight="false" outlineLevel="0" collapsed="false">
      <c r="A74" s="86" t="n">
        <v>24</v>
      </c>
      <c r="B74" s="26" t="n">
        <f aca="false">PARÁMETROS!$B$5+A74</f>
        <v>91</v>
      </c>
      <c r="C74" s="26" t="n">
        <f aca="false">PARÁMETROS!$B$6+($B$11+A74)</f>
        <v>2076</v>
      </c>
      <c r="D74" s="23" t="n">
        <f aca="false">I73</f>
        <v>824379.746285713</v>
      </c>
      <c r="E74" s="23" t="n">
        <f aca="false">PARÁMETROS!$B$15*12*(1+PARÁMETROS!$B$10)^($B$11+A74)</f>
        <v>68077.4031965929</v>
      </c>
      <c r="F74" s="23" t="n">
        <f aca="false">PARÁMETROS!$B$17*14*(1+PARÁMETROS!$B$10)^($B$11+A74)</f>
        <v>60149.4025948119</v>
      </c>
      <c r="G74" s="23" t="n">
        <f aca="false">INMUEBLES!$D$11*(1+PARÁMETROS!$B$10)^($B$11+A74)</f>
        <v>0</v>
      </c>
      <c r="H74" s="23" t="n">
        <f aca="false">MAX(0,E74-F74-G74)</f>
        <v>7928.00060178098</v>
      </c>
      <c r="I74" s="23" t="n">
        <f aca="false">MAX(0,D74*(1+PARÁMETROS!$B$20)-H74)</f>
        <v>841183.138072504</v>
      </c>
      <c r="J74" s="23" t="n">
        <f aca="false">N73</f>
        <v>992179.47429452</v>
      </c>
      <c r="K74" s="23" t="n">
        <f aca="false">(PARÁMETROS!$B$15-DECISIONES!$B$7)*12*(1+PARÁMETROS!$B$10)^($B$11+A74)-IF(($B$11+A74)&gt;DECISIONES!$B$14,DECISIONES!$B$19*12*(1+PARÁMETROS!$B$10)^($B$11+A74),0)</f>
        <v>33018.8942556168</v>
      </c>
      <c r="L74" s="23" t="n">
        <f aca="false">IF(AND(($B$11+A74)&gt;=DECISIONES!$B$14,($B$11+A74)&lt;DECISIONES!$B$14+DECISIONES!$B$18),DECISIONES!$B$17*12,0)</f>
        <v>0</v>
      </c>
      <c r="M74" s="23" t="n">
        <f aca="false">MAX(0,K74+L74-F74-G74)</f>
        <v>0</v>
      </c>
      <c r="N74" s="23" t="n">
        <f aca="false">MAX(0,J74*(1+PARÁMETROS!$B$20)-M74)</f>
        <v>1021944.85852336</v>
      </c>
    </row>
    <row r="75" customFormat="false" ht="15" hidden="false" customHeight="false" outlineLevel="0" collapsed="false">
      <c r="A75" s="86" t="n">
        <v>25</v>
      </c>
      <c r="B75" s="26" t="n">
        <f aca="false">PARÁMETROS!$B$5+A75</f>
        <v>92</v>
      </c>
      <c r="C75" s="26" t="n">
        <f aca="false">PARÁMETROS!$B$6+($B$11+A75)</f>
        <v>2077</v>
      </c>
      <c r="D75" s="23" t="n">
        <f aca="false">I74</f>
        <v>841183.138072504</v>
      </c>
      <c r="E75" s="23" t="n">
        <f aca="false">PARÁMETROS!$B$15*12*(1+PARÁMETROS!$B$10)^($B$11+A75)</f>
        <v>69779.3382765077</v>
      </c>
      <c r="F75" s="23" t="n">
        <f aca="false">PARÁMETROS!$B$17*14*(1+PARÁMETROS!$B$10)^($B$11+A75)</f>
        <v>61653.1376596822</v>
      </c>
      <c r="G75" s="23" t="n">
        <f aca="false">INMUEBLES!$D$11*(1+PARÁMETROS!$B$10)^($B$11+A75)</f>
        <v>0</v>
      </c>
      <c r="H75" s="23" t="n">
        <f aca="false">MAX(0,E75-F75-G75)</f>
        <v>8126.2006168255</v>
      </c>
      <c r="I75" s="23" t="n">
        <f aca="false">MAX(0,D75*(1+PARÁMETROS!$B$20)-H75)</f>
        <v>858292.431597854</v>
      </c>
      <c r="J75" s="23" t="n">
        <f aca="false">N74</f>
        <v>1021944.85852336</v>
      </c>
      <c r="K75" s="23" t="n">
        <f aca="false">(PARÁMETROS!$B$15-DECISIONES!$B$7)*12*(1+PARÁMETROS!$B$10)^($B$11+A75)-IF(($B$11+A75)&gt;DECISIONES!$B$14,DECISIONES!$B$19*12*(1+PARÁMETROS!$B$10)^($B$11+A75),0)</f>
        <v>33844.3666120072</v>
      </c>
      <c r="L75" s="23" t="n">
        <f aca="false">IF(AND(($B$11+A75)&gt;=DECISIONES!$B$14,($B$11+A75)&lt;DECISIONES!$B$14+DECISIONES!$B$18),DECISIONES!$B$17*12,0)</f>
        <v>0</v>
      </c>
      <c r="M75" s="23" t="n">
        <f aca="false">MAX(0,K75+L75-F75-G75)</f>
        <v>0</v>
      </c>
      <c r="N75" s="23" t="n">
        <f aca="false">MAX(0,J75*(1+PARÁMETROS!$B$20)-M75)</f>
        <v>1052603.20427906</v>
      </c>
    </row>
    <row r="76" customFormat="false" ht="15" hidden="false" customHeight="false" outlineLevel="0" collapsed="false">
      <c r="A76" s="86" t="n">
        <v>26</v>
      </c>
      <c r="B76" s="26" t="n">
        <f aca="false">PARÁMETROS!$B$5+A76</f>
        <v>93</v>
      </c>
      <c r="C76" s="26" t="n">
        <f aca="false">PARÁMETROS!$B$6+($B$11+A76)</f>
        <v>2078</v>
      </c>
      <c r="D76" s="23" t="n">
        <f aca="false">I75</f>
        <v>858292.431597854</v>
      </c>
      <c r="E76" s="23" t="n">
        <f aca="false">PARÁMETROS!$B$15*12*(1+PARÁMETROS!$B$10)^($B$11+A76)</f>
        <v>71523.8217334204</v>
      </c>
      <c r="F76" s="23" t="n">
        <f aca="false">PARÁMETROS!$B$17*14*(1+PARÁMETROS!$B$10)^($B$11+A76)</f>
        <v>63194.4661011742</v>
      </c>
      <c r="G76" s="23" t="n">
        <f aca="false">INMUEBLES!$D$11*(1+PARÁMETROS!$B$10)^($B$11+A76)</f>
        <v>0</v>
      </c>
      <c r="H76" s="23" t="n">
        <f aca="false">MAX(0,E76-F76-G76)</f>
        <v>8329.35563224614</v>
      </c>
      <c r="I76" s="23" t="n">
        <f aca="false">MAX(0,D76*(1+PARÁMETROS!$B$20)-H76)</f>
        <v>875711.848913543</v>
      </c>
      <c r="J76" s="23" t="n">
        <f aca="false">N75</f>
        <v>1052603.20427906</v>
      </c>
      <c r="K76" s="23" t="n">
        <f aca="false">(PARÁMETROS!$B$15-DECISIONES!$B$7)*12*(1+PARÁMETROS!$B$10)^($B$11+A76)-IF(($B$11+A76)&gt;DECISIONES!$B$14,DECISIONES!$B$19*12*(1+PARÁMETROS!$B$10)^($B$11+A76),0)</f>
        <v>34690.4757773074</v>
      </c>
      <c r="L76" s="23" t="n">
        <f aca="false">IF(AND(($B$11+A76)&gt;=DECISIONES!$B$14,($B$11+A76)&lt;DECISIONES!$B$14+DECISIONES!$B$18),DECISIONES!$B$17*12,0)</f>
        <v>0</v>
      </c>
      <c r="M76" s="23" t="n">
        <f aca="false">MAX(0,K76+L76-F76-G76)</f>
        <v>0</v>
      </c>
      <c r="N76" s="23" t="n">
        <f aca="false">MAX(0,J76*(1+PARÁMETROS!$B$20)-M76)</f>
        <v>1084181.30040743</v>
      </c>
    </row>
    <row r="77" customFormat="false" ht="15" hidden="false" customHeight="false" outlineLevel="0" collapsed="false">
      <c r="A77" s="86" t="n">
        <v>27</v>
      </c>
      <c r="B77" s="26" t="n">
        <f aca="false">PARÁMETROS!$B$5+A77</f>
        <v>94</v>
      </c>
      <c r="C77" s="26" t="n">
        <f aca="false">PARÁMETROS!$B$6+($B$11+A77)</f>
        <v>2079</v>
      </c>
      <c r="D77" s="23" t="n">
        <f aca="false">I76</f>
        <v>875711.848913543</v>
      </c>
      <c r="E77" s="23" t="n">
        <f aca="false">PARÁMETROS!$B$15*12*(1+PARÁMETROS!$B$10)^($B$11+A77)</f>
        <v>73311.9172767559</v>
      </c>
      <c r="F77" s="23" t="n">
        <f aca="false">PARÁMETROS!$B$17*14*(1+PARÁMETROS!$B$10)^($B$11+A77)</f>
        <v>64774.3277537036</v>
      </c>
      <c r="G77" s="23" t="n">
        <f aca="false">INMUEBLES!$D$11*(1+PARÁMETROS!$B$10)^($B$11+A77)</f>
        <v>0</v>
      </c>
      <c r="H77" s="23" t="n">
        <f aca="false">MAX(0,E77-F77-G77)</f>
        <v>8537.5895230523</v>
      </c>
      <c r="I77" s="23" t="n">
        <f aca="false">MAX(0,D77*(1+PARÁMETROS!$B$20)-H77)</f>
        <v>893445.614857897</v>
      </c>
      <c r="J77" s="23" t="n">
        <f aca="false">N76</f>
        <v>1084181.30040743</v>
      </c>
      <c r="K77" s="23" t="n">
        <f aca="false">(PARÁMETROS!$B$15-DECISIONES!$B$7)*12*(1+PARÁMETROS!$B$10)^($B$11+A77)-IF(($B$11+A77)&gt;DECISIONES!$B$14,DECISIONES!$B$19*12*(1+PARÁMETROS!$B$10)^($B$11+A77),0)</f>
        <v>35557.7376717401</v>
      </c>
      <c r="L77" s="23" t="n">
        <f aca="false">IF(AND(($B$11+A77)&gt;=DECISIONES!$B$14,($B$11+A77)&lt;DECISIONES!$B$14+DECISIONES!$B$18),DECISIONES!$B$17*12,0)</f>
        <v>0</v>
      </c>
      <c r="M77" s="23" t="n">
        <f aca="false">MAX(0,K77+L77-F77-G77)</f>
        <v>0</v>
      </c>
      <c r="N77" s="23" t="n">
        <f aca="false">MAX(0,J77*(1+PARÁMETROS!$B$20)-M77)</f>
        <v>1116706.73941965</v>
      </c>
    </row>
    <row r="78" customFormat="false" ht="15" hidden="false" customHeight="false" outlineLevel="0" collapsed="false">
      <c r="A78" s="86" t="n">
        <v>28</v>
      </c>
      <c r="B78" s="26" t="n">
        <f aca="false">PARÁMETROS!$B$5+A78</f>
        <v>95</v>
      </c>
      <c r="C78" s="26" t="n">
        <f aca="false">PARÁMETROS!$B$6+($B$11+A78)</f>
        <v>2080</v>
      </c>
      <c r="D78" s="23" t="n">
        <f aca="false">I77</f>
        <v>893445.614857897</v>
      </c>
      <c r="E78" s="23" t="n">
        <f aca="false">PARÁMETROS!$B$15*12*(1+PARÁMETROS!$B$10)^($B$11+A78)</f>
        <v>75144.7152086748</v>
      </c>
      <c r="F78" s="23" t="n">
        <f aca="false">PARÁMETROS!$B$17*14*(1+PARÁMETROS!$B$10)^($B$11+A78)</f>
        <v>66393.6859475462</v>
      </c>
      <c r="G78" s="23" t="n">
        <f aca="false">INMUEBLES!$D$11*(1+PARÁMETROS!$B$10)^($B$11+A78)</f>
        <v>0</v>
      </c>
      <c r="H78" s="23" t="n">
        <f aca="false">MAX(0,E78-F78-G78)</f>
        <v>8751.02926112861</v>
      </c>
      <c r="I78" s="23" t="n">
        <f aca="false">MAX(0,D78*(1+PARÁMETROS!$B$20)-H78)</f>
        <v>911497.954042505</v>
      </c>
      <c r="J78" s="23" t="n">
        <f aca="false">N77</f>
        <v>1116706.73941965</v>
      </c>
      <c r="K78" s="23" t="n">
        <f aca="false">(PARÁMETROS!$B$15-DECISIONES!$B$7)*12*(1+PARÁMETROS!$B$10)^($B$11+A78)-IF(($B$11+A78)&gt;DECISIONES!$B$14,DECISIONES!$B$19*12*(1+PARÁMETROS!$B$10)^($B$11+A78),0)</f>
        <v>36446.6811135336</v>
      </c>
      <c r="L78" s="23" t="n">
        <f aca="false">IF(AND(($B$11+A78)&gt;=DECISIONES!$B$14,($B$11+A78)&lt;DECISIONES!$B$14+DECISIONES!$B$18),DECISIONES!$B$17*12,0)</f>
        <v>0</v>
      </c>
      <c r="M78" s="23" t="n">
        <f aca="false">MAX(0,K78+L78-F78-G78)</f>
        <v>0</v>
      </c>
      <c r="N78" s="23" t="n">
        <f aca="false">MAX(0,J78*(1+PARÁMETROS!$B$20)-M78)</f>
        <v>1150207.94160224</v>
      </c>
    </row>
    <row r="79" customFormat="false" ht="15" hidden="false" customHeight="false" outlineLevel="0" collapsed="false">
      <c r="A79" s="86" t="n">
        <v>29</v>
      </c>
      <c r="B79" s="26" t="n">
        <f aca="false">PARÁMETROS!$B$5+A79</f>
        <v>96</v>
      </c>
      <c r="C79" s="26" t="n">
        <f aca="false">PARÁMETROS!$B$6+($B$11+A79)</f>
        <v>2081</v>
      </c>
      <c r="D79" s="23" t="n">
        <f aca="false">I78</f>
        <v>911497.954042505</v>
      </c>
      <c r="E79" s="23" t="n">
        <f aca="false">PARÁMETROS!$B$15*12*(1+PARÁMETROS!$B$10)^($B$11+A79)</f>
        <v>77023.3330888916</v>
      </c>
      <c r="F79" s="23" t="n">
        <f aca="false">PARÁMETROS!$B$17*14*(1+PARÁMETROS!$B$10)^($B$11+A79)</f>
        <v>68053.5280962348</v>
      </c>
      <c r="G79" s="23" t="n">
        <f aca="false">INMUEBLES!$D$11*(1+PARÁMETROS!$B$10)^($B$11+A79)</f>
        <v>0</v>
      </c>
      <c r="H79" s="23" t="n">
        <f aca="false">MAX(0,E79-F79-G79)</f>
        <v>8969.80499265682</v>
      </c>
      <c r="I79" s="23" t="n">
        <f aca="false">MAX(0,D79*(1+PARÁMETROS!$B$20)-H79)</f>
        <v>929873.087671124</v>
      </c>
      <c r="J79" s="23" t="n">
        <f aca="false">N78</f>
        <v>1150207.94160224</v>
      </c>
      <c r="K79" s="23" t="n">
        <f aca="false">(PARÁMETROS!$B$15-DECISIONES!$B$7)*12*(1+PARÁMETROS!$B$10)^($B$11+A79)-IF(($B$11+A79)&gt;DECISIONES!$B$14,DECISIONES!$B$19*12*(1+PARÁMETROS!$B$10)^($B$11+A79),0)</f>
        <v>37357.8481413719</v>
      </c>
      <c r="L79" s="23" t="n">
        <f aca="false">IF(AND(($B$11+A79)&gt;=DECISIONES!$B$14,($B$11+A79)&lt;DECISIONES!$B$14+DECISIONES!$B$18),DECISIONES!$B$17*12,0)</f>
        <v>0</v>
      </c>
      <c r="M79" s="23" t="n">
        <f aca="false">MAX(0,K79+L79-F79-G79)</f>
        <v>0</v>
      </c>
      <c r="N79" s="23" t="n">
        <f aca="false">MAX(0,J79*(1+PARÁMETROS!$B$20)-M79)</f>
        <v>1184714.17985031</v>
      </c>
    </row>
    <row r="80" customFormat="false" ht="15" hidden="false" customHeight="false" outlineLevel="0" collapsed="false">
      <c r="A80" s="86" t="n">
        <v>30</v>
      </c>
      <c r="B80" s="26" t="n">
        <f aca="false">PARÁMETROS!$B$5+A80</f>
        <v>97</v>
      </c>
      <c r="C80" s="26" t="n">
        <f aca="false">PARÁMETROS!$B$6+($B$11+A80)</f>
        <v>2082</v>
      </c>
      <c r="D80" s="23" t="n">
        <f aca="false">I79</f>
        <v>929873.087671124</v>
      </c>
      <c r="E80" s="23" t="n">
        <f aca="false">PARÁMETROS!$B$15*12*(1+PARÁMETROS!$B$10)^($B$11+A80)</f>
        <v>78948.9164161139</v>
      </c>
      <c r="F80" s="23" t="n">
        <f aca="false">PARÁMETROS!$B$17*14*(1+PARÁMETROS!$B$10)^($B$11+A80)</f>
        <v>69754.8662986407</v>
      </c>
      <c r="G80" s="23" t="n">
        <f aca="false">INMUEBLES!$D$11*(1+PARÁMETROS!$B$10)^($B$11+A80)</f>
        <v>0</v>
      </c>
      <c r="H80" s="23" t="n">
        <f aca="false">MAX(0,E80-F80-G80)</f>
        <v>9194.05011747323</v>
      </c>
      <c r="I80" s="23" t="n">
        <f aca="false">MAX(0,D80*(1+PARÁMETROS!$B$20)-H80)</f>
        <v>948575.230183784</v>
      </c>
      <c r="J80" s="23" t="n">
        <f aca="false">N79</f>
        <v>1184714.17985031</v>
      </c>
      <c r="K80" s="23" t="n">
        <f aca="false">(PARÁMETROS!$B$15-DECISIONES!$B$7)*12*(1+PARÁMETROS!$B$10)^($B$11+A80)-IF(($B$11+A80)&gt;DECISIONES!$B$14,DECISIONES!$B$19*12*(1+PARÁMETROS!$B$10)^($B$11+A80),0)</f>
        <v>38291.7943449062</v>
      </c>
      <c r="L80" s="23" t="n">
        <f aca="false">IF(AND(($B$11+A80)&gt;=DECISIONES!$B$14,($B$11+A80)&lt;DECISIONES!$B$14+DECISIONES!$B$18),DECISIONES!$B$17*12,0)</f>
        <v>0</v>
      </c>
      <c r="M80" s="23" t="n">
        <f aca="false">MAX(0,K80+L80-F80-G80)</f>
        <v>0</v>
      </c>
      <c r="N80" s="23" t="n">
        <f aca="false">MAX(0,J80*(1+PARÁMETROS!$B$20)-M80)</f>
        <v>1220255.60524582</v>
      </c>
    </row>
    <row r="81" customFormat="false" ht="15" hidden="false" customHeight="false" outlineLevel="0" collapsed="false">
      <c r="A81" s="86" t="n">
        <v>31</v>
      </c>
      <c r="B81" s="26" t="n">
        <f aca="false">PARÁMETROS!$B$5+A81</f>
        <v>98</v>
      </c>
      <c r="C81" s="26" t="n">
        <f aca="false">PARÁMETROS!$B$6+($B$11+A81)</f>
        <v>2083</v>
      </c>
      <c r="D81" s="23" t="n">
        <f aca="false">I80</f>
        <v>948575.230183784</v>
      </c>
      <c r="E81" s="23" t="n">
        <f aca="false">PARÁMETROS!$B$15*12*(1+PARÁMETROS!$B$10)^($B$11+A81)</f>
        <v>80922.6393265167</v>
      </c>
      <c r="F81" s="23" t="n">
        <f aca="false">PARÁMETROS!$B$17*14*(1+PARÁMETROS!$B$10)^($B$11+A81)</f>
        <v>71498.7379561067</v>
      </c>
      <c r="G81" s="23" t="n">
        <f aca="false">INMUEBLES!$D$11*(1+PARÁMETROS!$B$10)^($B$11+A81)</f>
        <v>0</v>
      </c>
      <c r="H81" s="23" t="n">
        <f aca="false">MAX(0,E81-F81-G81)</f>
        <v>9423.90137041007</v>
      </c>
      <c r="I81" s="23" t="n">
        <f aca="false">MAX(0,D81*(1+PARÁMETROS!$B$20)-H81)</f>
        <v>967608.585718888</v>
      </c>
      <c r="J81" s="23" t="n">
        <f aca="false">N80</f>
        <v>1220255.60524582</v>
      </c>
      <c r="K81" s="23" t="n">
        <f aca="false">(PARÁMETROS!$B$15-DECISIONES!$B$7)*12*(1+PARÁMETROS!$B$10)^($B$11+A81)-IF(($B$11+A81)&gt;DECISIONES!$B$14,DECISIONES!$B$19*12*(1+PARÁMETROS!$B$10)^($B$11+A81),0)</f>
        <v>39249.0892035289</v>
      </c>
      <c r="L81" s="23" t="n">
        <f aca="false">IF(AND(($B$11+A81)&gt;=DECISIONES!$B$14,($B$11+A81)&lt;DECISIONES!$B$14+DECISIONES!$B$18),DECISIONES!$B$17*12,0)</f>
        <v>0</v>
      </c>
      <c r="M81" s="23" t="n">
        <f aca="false">MAX(0,K81+L81-F81-G81)</f>
        <v>0</v>
      </c>
      <c r="N81" s="23" t="n">
        <f aca="false">MAX(0,J81*(1+PARÁMETROS!$B$20)-M81)</f>
        <v>1256863.27340319</v>
      </c>
    </row>
    <row r="82" customFormat="false" ht="15" hidden="false" customHeight="false" outlineLevel="0" collapsed="false">
      <c r="A82" s="86" t="n">
        <v>32</v>
      </c>
      <c r="B82" s="26" t="n">
        <f aca="false">PARÁMETROS!$B$5+A82</f>
        <v>99</v>
      </c>
      <c r="C82" s="26" t="n">
        <f aca="false">PARÁMETROS!$B$6+($B$11+A82)</f>
        <v>2084</v>
      </c>
      <c r="D82" s="23" t="n">
        <f aca="false">I81</f>
        <v>967608.585718888</v>
      </c>
      <c r="E82" s="23" t="n">
        <f aca="false">PARÁMETROS!$B$15*12*(1+PARÁMETROS!$B$10)^($B$11+A82)</f>
        <v>82945.7053096797</v>
      </c>
      <c r="F82" s="23" t="n">
        <f aca="false">PARÁMETROS!$B$17*14*(1+PARÁMETROS!$B$10)^($B$11+A82)</f>
        <v>73286.2064050094</v>
      </c>
      <c r="G82" s="23" t="n">
        <f aca="false">INMUEBLES!$D$11*(1+PARÁMETROS!$B$10)^($B$11+A82)</f>
        <v>0</v>
      </c>
      <c r="H82" s="23" t="n">
        <f aca="false">MAX(0,E82-F82-G82)</f>
        <v>9659.49890467031</v>
      </c>
      <c r="I82" s="23" t="n">
        <f aca="false">MAX(0,D82*(1+PARÁMETROS!$B$20)-H82)</f>
        <v>986977.344385784</v>
      </c>
      <c r="J82" s="23" t="n">
        <f aca="false">N81</f>
        <v>1256863.27340319</v>
      </c>
      <c r="K82" s="23" t="n">
        <f aca="false">(PARÁMETROS!$B$15-DECISIONES!$B$7)*12*(1+PARÁMETROS!$B$10)^($B$11+A82)-IF(($B$11+A82)&gt;DECISIONES!$B$14,DECISIONES!$B$19*12*(1+PARÁMETROS!$B$10)^($B$11+A82),0)</f>
        <v>40230.3164336171</v>
      </c>
      <c r="L82" s="23" t="n">
        <f aca="false">IF(AND(($B$11+A82)&gt;=DECISIONES!$B$14,($B$11+A82)&lt;DECISIONES!$B$14+DECISIONES!$B$18),DECISIONES!$B$17*12,0)</f>
        <v>0</v>
      </c>
      <c r="M82" s="23" t="n">
        <f aca="false">MAX(0,K82+L82-F82-G82)</f>
        <v>0</v>
      </c>
      <c r="N82" s="23" t="n">
        <f aca="false">MAX(0,J82*(1+PARÁMETROS!$B$20)-M82)</f>
        <v>1294569.17160529</v>
      </c>
    </row>
    <row r="83" customFormat="false" ht="15" hidden="false" customHeight="false" outlineLevel="0" collapsed="false">
      <c r="A83" s="86" t="n">
        <v>33</v>
      </c>
      <c r="B83" s="26" t="n">
        <f aca="false">PARÁMETROS!$B$5+A83</f>
        <v>100</v>
      </c>
      <c r="C83" s="26" t="n">
        <f aca="false">PARÁMETROS!$B$6+($B$11+A83)</f>
        <v>2085</v>
      </c>
      <c r="D83" s="23" t="n">
        <f aca="false">I82</f>
        <v>986977.344385784</v>
      </c>
      <c r="E83" s="23" t="n">
        <f aca="false">PARÁMETROS!$B$15*12*(1+PARÁMETROS!$B$10)^($B$11+A83)</f>
        <v>85019.3479424216</v>
      </c>
      <c r="F83" s="23" t="n">
        <f aca="false">PARÁMETROS!$B$17*14*(1+PARÁMETROS!$B$10)^($B$11+A83)</f>
        <v>75118.3615651346</v>
      </c>
      <c r="G83" s="23" t="n">
        <f aca="false">INMUEBLES!$D$11*(1+PARÁMETROS!$B$10)^($B$11+A83)</f>
        <v>0</v>
      </c>
      <c r="H83" s="23" t="n">
        <f aca="false">MAX(0,E83-F83-G83)</f>
        <v>9900.98637728707</v>
      </c>
      <c r="I83" s="23" t="n">
        <f aca="false">MAX(0,D83*(1+PARÁMETROS!$B$20)-H83)</f>
        <v>1006685.67834007</v>
      </c>
      <c r="J83" s="23" t="n">
        <f aca="false">N82</f>
        <v>1294569.17160529</v>
      </c>
      <c r="K83" s="23" t="n">
        <f aca="false">(PARÁMETROS!$B$15-DECISIONES!$B$7)*12*(1+PARÁMETROS!$B$10)^($B$11+A83)-IF(($B$11+A83)&gt;DECISIONES!$B$14,DECISIONES!$B$19*12*(1+PARÁMETROS!$B$10)^($B$11+A83),0)</f>
        <v>41236.0743444575</v>
      </c>
      <c r="L83" s="23" t="n">
        <f aca="false">IF(AND(($B$11+A83)&gt;=DECISIONES!$B$14,($B$11+A83)&lt;DECISIONES!$B$14+DECISIONES!$B$18),DECISIONES!$B$17*12,0)</f>
        <v>0</v>
      </c>
      <c r="M83" s="23" t="n">
        <f aca="false">MAX(0,K83+L83-F83-G83)</f>
        <v>0</v>
      </c>
      <c r="N83" s="23" t="n">
        <f aca="false">MAX(0,J83*(1+PARÁMETROS!$B$20)-M83)</f>
        <v>1333406.24675345</v>
      </c>
    </row>
    <row r="84" customFormat="false" ht="15" hidden="false" customHeight="false" outlineLevel="0" collapsed="false">
      <c r="A84" s="86" t="n">
        <v>34</v>
      </c>
      <c r="B84" s="26" t="n">
        <f aca="false">PARÁMETROS!$B$5+A84</f>
        <v>101</v>
      </c>
      <c r="C84" s="26" t="n">
        <f aca="false">PARÁMETROS!$B$6+($B$11+A84)</f>
        <v>2086</v>
      </c>
      <c r="D84" s="23" t="n">
        <f aca="false">I83</f>
        <v>1006685.67834007</v>
      </c>
      <c r="E84" s="23" t="n">
        <f aca="false">PARÁMETROS!$B$15*12*(1+PARÁMETROS!$B$10)^($B$11+A84)</f>
        <v>87144.8316409822</v>
      </c>
      <c r="F84" s="23" t="n">
        <f aca="false">PARÁMETROS!$B$17*14*(1+PARÁMETROS!$B$10)^($B$11+A84)</f>
        <v>76996.3206042629</v>
      </c>
      <c r="G84" s="23" t="n">
        <f aca="false">INMUEBLES!$D$11*(1+PARÁMETROS!$B$10)^($B$11+A84)</f>
        <v>0</v>
      </c>
      <c r="H84" s="23" t="n">
        <f aca="false">MAX(0,E84-F84-G84)</f>
        <v>10148.5110367192</v>
      </c>
      <c r="I84" s="23" t="n">
        <f aca="false">MAX(0,D84*(1+PARÁMETROS!$B$20)-H84)</f>
        <v>1026737.73765355</v>
      </c>
      <c r="J84" s="23" t="n">
        <f aca="false">N83</f>
        <v>1333406.24675345</v>
      </c>
      <c r="K84" s="23" t="n">
        <f aca="false">(PARÁMETROS!$B$15-DECISIONES!$B$7)*12*(1+PARÁMETROS!$B$10)^($B$11+A84)-IF(($B$11+A84)&gt;DECISIONES!$B$14,DECISIONES!$B$19*12*(1+PARÁMETROS!$B$10)^($B$11+A84),0)</f>
        <v>42266.9762030689</v>
      </c>
      <c r="L84" s="23" t="n">
        <f aca="false">IF(AND(($B$11+A84)&gt;=DECISIONES!$B$14,($B$11+A84)&lt;DECISIONES!$B$14+DECISIONES!$B$18),DECISIONES!$B$17*12,0)</f>
        <v>0</v>
      </c>
      <c r="M84" s="23" t="n">
        <f aca="false">MAX(0,K84+L84-F84-G84)</f>
        <v>0</v>
      </c>
      <c r="N84" s="23" t="n">
        <f aca="false">MAX(0,J84*(1+PARÁMETROS!$B$20)-M84)</f>
        <v>1373408.43415605</v>
      </c>
    </row>
    <row r="85" customFormat="false" ht="15" hidden="false" customHeight="false" outlineLevel="0" collapsed="false">
      <c r="A85" s="86" t="n">
        <v>35</v>
      </c>
      <c r="B85" s="26" t="n">
        <f aca="false">PARÁMETROS!$B$5+A85</f>
        <v>102</v>
      </c>
      <c r="C85" s="26" t="n">
        <f aca="false">PARÁMETROS!$B$6+($B$11+A85)</f>
        <v>2087</v>
      </c>
      <c r="D85" s="23" t="n">
        <f aca="false">I84</f>
        <v>1026737.73765355</v>
      </c>
      <c r="E85" s="23" t="n">
        <f aca="false">PARÁMETROS!$B$15*12*(1+PARÁMETROS!$B$10)^($B$11+A85)</f>
        <v>89323.4524320067</v>
      </c>
      <c r="F85" s="23" t="n">
        <f aca="false">PARÁMETROS!$B$17*14*(1+PARÁMETROS!$B$10)^($B$11+A85)</f>
        <v>78921.2286193695</v>
      </c>
      <c r="G85" s="23" t="n">
        <f aca="false">INMUEBLES!$D$11*(1+PARÁMETROS!$B$10)^($B$11+A85)</f>
        <v>0</v>
      </c>
      <c r="H85" s="23" t="n">
        <f aca="false">MAX(0,E85-F85-G85)</f>
        <v>10402.2238126372</v>
      </c>
      <c r="I85" s="23" t="n">
        <f aca="false">MAX(0,D85*(1+PARÁMETROS!$B$20)-H85)</f>
        <v>1047137.64597052</v>
      </c>
      <c r="J85" s="23" t="n">
        <f aca="false">N84</f>
        <v>1373408.43415605</v>
      </c>
      <c r="K85" s="23" t="n">
        <f aca="false">(PARÁMETROS!$B$15-DECISIONES!$B$7)*12*(1+PARÁMETROS!$B$10)^($B$11+A85)-IF(($B$11+A85)&gt;DECISIONES!$B$14,DECISIONES!$B$19*12*(1+PARÁMETROS!$B$10)^($B$11+A85),0)</f>
        <v>43323.6506081457</v>
      </c>
      <c r="L85" s="23" t="n">
        <f aca="false">IF(AND(($B$11+A85)&gt;=DECISIONES!$B$14,($B$11+A85)&lt;DECISIONES!$B$14+DECISIONES!$B$18),DECISIONES!$B$17*12,0)</f>
        <v>0</v>
      </c>
      <c r="M85" s="23" t="n">
        <f aca="false">MAX(0,K85+L85-F85-G85)</f>
        <v>0</v>
      </c>
      <c r="N85" s="23" t="n">
        <f aca="false">MAX(0,J85*(1+PARÁMETROS!$B$20)-M85)</f>
        <v>1414610.68718073</v>
      </c>
    </row>
    <row r="86" customFormat="false" ht="15" hidden="false" customHeight="false" outlineLevel="0" collapsed="false">
      <c r="A86" s="86" t="n">
        <v>36</v>
      </c>
      <c r="B86" s="26" t="n">
        <f aca="false">PARÁMETROS!$B$5+A86</f>
        <v>103</v>
      </c>
      <c r="C86" s="26" t="n">
        <f aca="false">PARÁMETROS!$B$6+($B$11+A86)</f>
        <v>2088</v>
      </c>
      <c r="D86" s="23" t="n">
        <f aca="false">I85</f>
        <v>1047137.64597052</v>
      </c>
      <c r="E86" s="23" t="n">
        <f aca="false">PARÁMETROS!$B$15*12*(1+PARÁMETROS!$B$10)^($B$11+A86)</f>
        <v>91556.5387428069</v>
      </c>
      <c r="F86" s="23" t="n">
        <f aca="false">PARÁMETROS!$B$17*14*(1+PARÁMETROS!$B$10)^($B$11+A86)</f>
        <v>80894.2593348537</v>
      </c>
      <c r="G86" s="23" t="n">
        <f aca="false">INMUEBLES!$D$11*(1+PARÁMETROS!$B$10)^($B$11+A86)</f>
        <v>0</v>
      </c>
      <c r="H86" s="23" t="n">
        <f aca="false">MAX(0,E86-F86-G86)</f>
        <v>10662.2794079532</v>
      </c>
      <c r="I86" s="23" t="n">
        <f aca="false">MAX(0,D86*(1+PARÁMETROS!$B$20)-H86)</f>
        <v>1067889.49594169</v>
      </c>
      <c r="J86" s="23" t="n">
        <f aca="false">N85</f>
        <v>1414610.68718073</v>
      </c>
      <c r="K86" s="23" t="n">
        <f aca="false">(PARÁMETROS!$B$15-DECISIONES!$B$7)*12*(1+PARÁMETROS!$B$10)^($B$11+A86)-IF(($B$11+A86)&gt;DECISIONES!$B$14,DECISIONES!$B$19*12*(1+PARÁMETROS!$B$10)^($B$11+A86),0)</f>
        <v>44406.7418733493</v>
      </c>
      <c r="L86" s="23" t="n">
        <f aca="false">IF(AND(($B$11+A86)&gt;=DECISIONES!$B$14,($B$11+A86)&lt;DECISIONES!$B$14+DECISIONES!$B$18),DECISIONES!$B$17*12,0)</f>
        <v>0</v>
      </c>
      <c r="M86" s="23" t="n">
        <f aca="false">MAX(0,K86+L86-F86-G86)</f>
        <v>0</v>
      </c>
      <c r="N86" s="23" t="n">
        <f aca="false">MAX(0,J86*(1+PARÁMETROS!$B$20)-M86)</f>
        <v>1457049.00779615</v>
      </c>
    </row>
    <row r="87" customFormat="false" ht="15" hidden="false" customHeight="false" outlineLevel="0" collapsed="false">
      <c r="A87" s="86" t="n">
        <v>37</v>
      </c>
      <c r="B87" s="26" t="n">
        <f aca="false">PARÁMETROS!$B$5+A87</f>
        <v>104</v>
      </c>
      <c r="C87" s="26" t="n">
        <f aca="false">PARÁMETROS!$B$6+($B$11+A87)</f>
        <v>2089</v>
      </c>
      <c r="D87" s="23" t="n">
        <f aca="false">I86</f>
        <v>1067889.49594169</v>
      </c>
      <c r="E87" s="23" t="n">
        <f aca="false">PARÁMETROS!$B$15*12*(1+PARÁMETROS!$B$10)^($B$11+A87)</f>
        <v>93845.4522113771</v>
      </c>
      <c r="F87" s="23" t="n">
        <f aca="false">PARÁMETROS!$B$17*14*(1+PARÁMETROS!$B$10)^($B$11+A87)</f>
        <v>82916.6158182251</v>
      </c>
      <c r="G87" s="23" t="n">
        <f aca="false">INMUEBLES!$D$11*(1+PARÁMETROS!$B$10)^($B$11+A87)</f>
        <v>0</v>
      </c>
      <c r="H87" s="23" t="n">
        <f aca="false">MAX(0,E87-F87-G87)</f>
        <v>10928.836393152</v>
      </c>
      <c r="I87" s="23" t="n">
        <f aca="false">MAX(0,D87*(1+PARÁMETROS!$B$20)-H87)</f>
        <v>1088997.34442678</v>
      </c>
      <c r="J87" s="23" t="n">
        <f aca="false">N86</f>
        <v>1457049.00779615</v>
      </c>
      <c r="K87" s="23" t="n">
        <f aca="false">(PARÁMETROS!$B$15-DECISIONES!$B$7)*12*(1+PARÁMETROS!$B$10)^($B$11+A87)-IF(($B$11+A87)&gt;DECISIONES!$B$14,DECISIONES!$B$19*12*(1+PARÁMETROS!$B$10)^($B$11+A87),0)</f>
        <v>45516.910420183</v>
      </c>
      <c r="L87" s="23" t="n">
        <f aca="false">IF(AND(($B$11+A87)&gt;=DECISIONES!$B$14,($B$11+A87)&lt;DECISIONES!$B$14+DECISIONES!$B$18),DECISIONES!$B$17*12,0)</f>
        <v>0</v>
      </c>
      <c r="M87" s="23" t="n">
        <f aca="false">MAX(0,K87+L87-F87-G87)</f>
        <v>0</v>
      </c>
      <c r="N87" s="23" t="n">
        <f aca="false">MAX(0,J87*(1+PARÁMETROS!$B$20)-M87)</f>
        <v>1500760.47803004</v>
      </c>
    </row>
    <row r="88" customFormat="false" ht="15" hidden="false" customHeight="false" outlineLevel="0" collapsed="false">
      <c r="A88" s="86" t="n">
        <v>38</v>
      </c>
      <c r="B88" s="26" t="n">
        <f aca="false">PARÁMETROS!$B$5+A88</f>
        <v>105</v>
      </c>
      <c r="C88" s="26" t="n">
        <f aca="false">PARÁMETROS!$B$6+($B$11+A88)</f>
        <v>2090</v>
      </c>
      <c r="D88" s="23" t="n">
        <f aca="false">I87</f>
        <v>1088997.34442678</v>
      </c>
      <c r="E88" s="23" t="n">
        <f aca="false">PARÁMETROS!$B$15*12*(1+PARÁMETROS!$B$10)^($B$11+A88)</f>
        <v>96191.5885166615</v>
      </c>
      <c r="F88" s="23" t="n">
        <f aca="false">PARÁMETROS!$B$17*14*(1+PARÁMETROS!$B$10)^($B$11+A88)</f>
        <v>84989.5312136807</v>
      </c>
      <c r="G88" s="23" t="n">
        <f aca="false">INMUEBLES!$D$11*(1+PARÁMETROS!$B$10)^($B$11+A88)</f>
        <v>0</v>
      </c>
      <c r="H88" s="23" t="n">
        <f aca="false">MAX(0,E88-F88-G88)</f>
        <v>11202.0573029808</v>
      </c>
      <c r="I88" s="23" t="n">
        <f aca="false">MAX(0,D88*(1+PARÁMETROS!$B$20)-H88)</f>
        <v>1110465.20745661</v>
      </c>
      <c r="J88" s="23" t="n">
        <f aca="false">N87</f>
        <v>1500760.47803004</v>
      </c>
      <c r="K88" s="23" t="n">
        <f aca="false">(PARÁMETROS!$B$15-DECISIONES!$B$7)*12*(1+PARÁMETROS!$B$10)^($B$11+A88)-IF(($B$11+A88)&gt;DECISIONES!$B$14,DECISIONES!$B$19*12*(1+PARÁMETROS!$B$10)^($B$11+A88),0)</f>
        <v>46654.8331806876</v>
      </c>
      <c r="L88" s="23" t="n">
        <f aca="false">IF(AND(($B$11+A88)&gt;=DECISIONES!$B$14,($B$11+A88)&lt;DECISIONES!$B$14+DECISIONES!$B$18),DECISIONES!$B$17*12,0)</f>
        <v>0</v>
      </c>
      <c r="M88" s="23" t="n">
        <f aca="false">MAX(0,K88+L88-F88-G88)</f>
        <v>0</v>
      </c>
      <c r="N88" s="23" t="n">
        <f aca="false">MAX(0,J88*(1+PARÁMETROS!$B$20)-M88)</f>
        <v>1545783.29237094</v>
      </c>
    </row>
    <row r="89" customFormat="false" ht="15" hidden="false" customHeight="false" outlineLevel="0" collapsed="false">
      <c r="A89" s="86" t="n">
        <v>39</v>
      </c>
      <c r="B89" s="26" t="n">
        <f aca="false">PARÁMETROS!$B$5+A89</f>
        <v>106</v>
      </c>
      <c r="C89" s="26" t="n">
        <f aca="false">PARÁMETROS!$B$6+($B$11+A89)</f>
        <v>2091</v>
      </c>
      <c r="D89" s="23" t="n">
        <f aca="false">I88</f>
        <v>1110465.20745661</v>
      </c>
      <c r="E89" s="23" t="n">
        <f aca="false">PARÁMETROS!$B$15*12*(1+PARÁMETROS!$B$10)^($B$11+A89)</f>
        <v>98596.378229578</v>
      </c>
      <c r="F89" s="23" t="n">
        <f aca="false">PARÁMETROS!$B$17*14*(1+PARÁMETROS!$B$10)^($B$11+A89)</f>
        <v>87114.2694940227</v>
      </c>
      <c r="G89" s="23" t="n">
        <f aca="false">INMUEBLES!$D$11*(1+PARÁMETROS!$B$10)^($B$11+A89)</f>
        <v>0</v>
      </c>
      <c r="H89" s="23" t="n">
        <f aca="false">MAX(0,E89-F89-G89)</f>
        <v>11482.1087355553</v>
      </c>
      <c r="I89" s="23" t="n">
        <f aca="false">MAX(0,D89*(1+PARÁMETROS!$B$20)-H89)</f>
        <v>1132297.05494475</v>
      </c>
      <c r="J89" s="23" t="n">
        <f aca="false">N88</f>
        <v>1545783.29237094</v>
      </c>
      <c r="K89" s="23" t="n">
        <f aca="false">(PARÁMETROS!$B$15-DECISIONES!$B$7)*12*(1+PARÁMETROS!$B$10)^($B$11+A89)-IF(($B$11+A89)&gt;DECISIONES!$B$14,DECISIONES!$B$19*12*(1+PARÁMETROS!$B$10)^($B$11+A89),0)</f>
        <v>47821.2040102048</v>
      </c>
      <c r="L89" s="23" t="n">
        <f aca="false">IF(AND(($B$11+A89)&gt;=DECISIONES!$B$14,($B$11+A89)&lt;DECISIONES!$B$14+DECISIONES!$B$18),DECISIONES!$B$17*12,0)</f>
        <v>0</v>
      </c>
      <c r="M89" s="23" t="n">
        <f aca="false">MAX(0,K89+L89-F89-G89)</f>
        <v>0</v>
      </c>
      <c r="N89" s="23" t="n">
        <f aca="false">MAX(0,J89*(1+PARÁMETROS!$B$20)-M89)</f>
        <v>1592156.79114207</v>
      </c>
    </row>
    <row r="90" customFormat="false" ht="15" hidden="false" customHeight="false" outlineLevel="0" collapsed="false">
      <c r="A90" s="86" t="n">
        <v>40</v>
      </c>
      <c r="B90" s="26" t="n">
        <f aca="false">PARÁMETROS!$B$5+A90</f>
        <v>107</v>
      </c>
      <c r="C90" s="26" t="n">
        <f aca="false">PARÁMETROS!$B$6+($B$11+A90)</f>
        <v>2092</v>
      </c>
      <c r="D90" s="23" t="n">
        <f aca="false">I89</f>
        <v>1132297.05494475</v>
      </c>
      <c r="E90" s="23" t="n">
        <f aca="false">PARÁMETROS!$B$15*12*(1+PARÁMETROS!$B$10)^($B$11+A90)</f>
        <v>101061.287685317</v>
      </c>
      <c r="F90" s="23" t="n">
        <f aca="false">PARÁMETROS!$B$17*14*(1+PARÁMETROS!$B$10)^($B$11+A90)</f>
        <v>89292.1262313733</v>
      </c>
      <c r="G90" s="23" t="n">
        <f aca="false">INMUEBLES!$D$11*(1+PARÁMETROS!$B$10)^($B$11+A90)</f>
        <v>0</v>
      </c>
      <c r="H90" s="23" t="n">
        <f aca="false">MAX(0,E90-F90-G90)</f>
        <v>11769.1614539442</v>
      </c>
      <c r="I90" s="23" t="n">
        <f aca="false">MAX(0,D90*(1+PARÁMETROS!$B$20)-H90)</f>
        <v>1154496.80513915</v>
      </c>
      <c r="J90" s="23" t="n">
        <f aca="false">N89</f>
        <v>1592156.79114207</v>
      </c>
      <c r="K90" s="23" t="n">
        <f aca="false">(PARÁMETROS!$B$15-DECISIONES!$B$7)*12*(1+PARÁMETROS!$B$10)^($B$11+A90)-IF(($B$11+A90)&gt;DECISIONES!$B$14,DECISIONES!$B$19*12*(1+PARÁMETROS!$B$10)^($B$11+A90),0)</f>
        <v>49016.7341104599</v>
      </c>
      <c r="L90" s="23" t="n">
        <f aca="false">IF(AND(($B$11+A90)&gt;=DECISIONES!$B$14,($B$11+A90)&lt;DECISIONES!$B$14+DECISIONES!$B$18),DECISIONES!$B$17*12,0)</f>
        <v>0</v>
      </c>
      <c r="M90" s="23" t="n">
        <f aca="false">MAX(0,K90+L90-F90-G90)</f>
        <v>0</v>
      </c>
      <c r="N90" s="23" t="n">
        <f aca="false">MAX(0,J90*(1+PARÁMETROS!$B$20)-M90)</f>
        <v>1639921.49487633</v>
      </c>
    </row>
    <row r="92" customFormat="false" ht="15" hidden="false" customHeight="false" outlineLevel="0" collapsed="false">
      <c r="A92" s="70" t="s">
        <v>918</v>
      </c>
      <c r="B92" s="33" t="n">
        <f aca="false">PARÁMETROS!$B$5+COUNTIF($I$50:$I$90,"&gt;0")</f>
        <v>108</v>
      </c>
    </row>
    <row r="93" customFormat="false" ht="15" hidden="false" customHeight="false" outlineLevel="0" collapsed="false">
      <c r="A93" s="70" t="s">
        <v>919</v>
      </c>
      <c r="B93" s="33" t="n">
        <f aca="false">PARÁMETROS!$B$5+COUNTIF($N$50:$N$90,"&gt;0")</f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7" t="s">
        <v>920</v>
      </c>
    </row>
    <row r="3" customFormat="false" ht="15" hidden="false" customHeight="false" outlineLevel="0" collapsed="false">
      <c r="A3" s="88" t="s">
        <v>921</v>
      </c>
    </row>
    <row r="4" customFormat="false" ht="15" hidden="false" customHeight="false" outlineLevel="0" collapsed="false">
      <c r="A4" s="89" t="s">
        <v>922</v>
      </c>
      <c r="B4" s="89" t="s">
        <v>923</v>
      </c>
    </row>
    <row r="5" customFormat="false" ht="15" hidden="false" customHeight="false" outlineLevel="0" collapsed="false">
      <c r="A5" s="38" t="s">
        <v>924</v>
      </c>
      <c r="B5" s="90" t="n">
        <f aca="false">PROYECCIÓN!$B$4</f>
        <v>46266</v>
      </c>
    </row>
    <row r="6" customFormat="false" ht="15" hidden="false" customHeight="false" outlineLevel="0" collapsed="false">
      <c r="A6" s="38" t="s">
        <v>925</v>
      </c>
      <c r="B6" s="91" t="n">
        <f aca="false">PROYECCIÓN!$B$8</f>
        <v>67957.06</v>
      </c>
    </row>
    <row r="7" customFormat="false" ht="15" hidden="false" customHeight="false" outlineLevel="0" collapsed="false">
      <c r="A7" s="38" t="s">
        <v>926</v>
      </c>
      <c r="B7" s="91" t="n">
        <f aca="false">PROYECCIÓN!$B$9</f>
        <v>0</v>
      </c>
    </row>
    <row r="8" customFormat="false" ht="15" hidden="false" customHeight="false" outlineLevel="0" collapsed="false">
      <c r="A8" s="38" t="s">
        <v>927</v>
      </c>
      <c r="B8" s="91" t="n">
        <f aca="false">PROYECCIÓN!$B$10</f>
        <v>67957.06</v>
      </c>
    </row>
    <row r="9" customFormat="false" ht="15" hidden="false" customHeight="false" outlineLevel="0" collapsed="false">
      <c r="A9" s="38" t="s">
        <v>928</v>
      </c>
      <c r="B9" s="91" t="n">
        <f aca="false">INDEX('MIS DATOS'!$B$6:$B$245,COUNT('MIS DATOS'!$A$6:$A$245))</f>
        <v>10501.16</v>
      </c>
    </row>
    <row r="10" customFormat="false" ht="15" hidden="false" customHeight="false" outlineLevel="0" collapsed="false">
      <c r="A10" s="38" t="s">
        <v>929</v>
      </c>
      <c r="B10" s="91" t="n">
        <f aca="false">INDEX('MIS DATOS'!$C$6:$C$245,COUNT('MIS DATOS'!$A$6:$A$245))</f>
        <v>1449.9</v>
      </c>
    </row>
    <row r="11" customFormat="false" ht="15" hidden="false" customHeight="false" outlineLevel="0" collapsed="false">
      <c r="A11" s="38" t="s">
        <v>930</v>
      </c>
      <c r="B11" s="91" t="n">
        <f aca="false">INDEX('MIS DATOS'!$D$6:$D$245,COUNT('MIS DATOS'!$A$6:$A$245))</f>
        <v>56006</v>
      </c>
    </row>
    <row r="12" customFormat="false" ht="15" hidden="false" customHeight="false" outlineLevel="0" collapsed="false">
      <c r="A12" s="38" t="s">
        <v>931</v>
      </c>
      <c r="B12" s="35" t="s">
        <v>91</v>
      </c>
    </row>
    <row r="13" customFormat="false" ht="15" hidden="false" customHeight="false" outlineLevel="0" collapsed="false">
      <c r="A13" s="38" t="s">
        <v>932</v>
      </c>
      <c r="B13" s="35" t="s">
        <v>92</v>
      </c>
    </row>
    <row r="14" customFormat="false" ht="15" hidden="false" customHeight="false" outlineLevel="0" collapsed="false">
      <c r="A14" s="38" t="s">
        <v>933</v>
      </c>
      <c r="B14" s="35" t="s">
        <v>93</v>
      </c>
    </row>
    <row r="15" customFormat="false" ht="15" hidden="false" customHeight="false" outlineLevel="0" collapsed="false">
      <c r="A15" s="38" t="s">
        <v>934</v>
      </c>
      <c r="B15" s="92" t="n">
        <f aca="false">PROYECCIÓN!$M$15</f>
        <v>0.137241312108748</v>
      </c>
    </row>
    <row r="16" customFormat="false" ht="15" hidden="false" customHeight="false" outlineLevel="0" collapsed="false">
      <c r="A16" s="38" t="s">
        <v>935</v>
      </c>
      <c r="B16" s="35" t="str">
        <f aca="false">'MI FUTURO'!$A$5</f>
        <v>🛡️ Escudo</v>
      </c>
    </row>
    <row r="17" customFormat="false" ht="15" hidden="false" customHeight="false" outlineLevel="0" collapsed="false">
      <c r="A17" s="38" t="s">
        <v>936</v>
      </c>
      <c r="B17" s="35" t="str">
        <f aca="false">'MI FUTURO'!$A$7</f>
        <v>Siguiente: 🧭 Brújula al 15%</v>
      </c>
    </row>
    <row r="18" customFormat="false" ht="15" hidden="false" customHeight="false" outlineLevel="0" collapsed="false">
      <c r="A18" s="38" t="s">
        <v>937</v>
      </c>
      <c r="B18" s="91" t="n">
        <f aca="false">IFERROR(AVERAGEIFS('MIS DATOS'!$G$6:$G$245,'MIS DATOS'!$N$6:$N$245,1),0)</f>
        <v>2627.40916666667</v>
      </c>
    </row>
    <row r="19" customFormat="false" ht="15" hidden="false" customHeight="false" outlineLevel="0" collapsed="false">
      <c r="A19" s="38" t="s">
        <v>938</v>
      </c>
      <c r="B19" s="91" t="n">
        <f aca="false">PARÁMETROS!$B$15</f>
        <v>1650.54916666667</v>
      </c>
    </row>
    <row r="20" customFormat="false" ht="15" hidden="false" customHeight="false" outlineLevel="0" collapsed="false">
      <c r="A20" s="38" t="s">
        <v>939</v>
      </c>
      <c r="B20" s="91" t="n">
        <f aca="false">PARÁMETROS!$B$13</f>
        <v>976.86</v>
      </c>
    </row>
    <row r="21" customFormat="false" ht="15" hidden="false" customHeight="false" outlineLevel="0" collapsed="false">
      <c r="A21" s="38" t="s">
        <v>940</v>
      </c>
      <c r="B21" s="91" t="n">
        <f aca="false">CASA!$O$13</f>
        <v>969.39</v>
      </c>
    </row>
    <row r="22" customFormat="false" ht="15" hidden="false" customHeight="false" outlineLevel="0" collapsed="false">
      <c r="A22" s="38" t="s">
        <v>941</v>
      </c>
      <c r="B22" s="93" t="n">
        <f aca="false">COUNTIFS(MOVIMIENTOS!$H$4:$H$20000,"Por revisar",MOVIMIENTOS!$B$4:$B$20000,"&gt;="&amp;'MIS DATOS'!$A$6)</f>
        <v>2</v>
      </c>
    </row>
    <row r="23" customFormat="false" ht="15" hidden="false" customHeight="false" outlineLevel="0" collapsed="false">
      <c r="A23" s="38" t="s">
        <v>942</v>
      </c>
      <c r="B23" s="93" t="n">
        <f aca="false">PARÁMETROS!$B$4</f>
        <v>41</v>
      </c>
    </row>
    <row r="24" customFormat="false" ht="15" hidden="false" customHeight="false" outlineLevel="0" collapsed="false">
      <c r="A24" s="38" t="s">
        <v>943</v>
      </c>
      <c r="B24" s="93" t="n">
        <f aca="false">PARÁMETROS!$B$5</f>
        <v>67</v>
      </c>
    </row>
    <row r="25" customFormat="false" ht="15" hidden="false" customHeight="false" outlineLevel="0" collapsed="false">
      <c r="A25" s="38" t="s">
        <v>944</v>
      </c>
      <c r="B25" s="91" t="n">
        <f aca="false">PARÁMETROS!$B$17</f>
        <v>1250</v>
      </c>
    </row>
    <row r="26" customFormat="false" ht="15" hidden="false" customHeight="false" outlineLevel="0" collapsed="false">
      <c r="A26" s="38" t="s">
        <v>945</v>
      </c>
      <c r="B26" s="94" t="n">
        <f aca="false">PARÁMETROS!$B$9</f>
        <v>0.00597436086846606</v>
      </c>
    </row>
    <row r="27" customFormat="false" ht="15" hidden="false" customHeight="false" outlineLevel="0" collapsed="false">
      <c r="A27" s="38" t="s">
        <v>946</v>
      </c>
      <c r="B27" s="91" t="n">
        <f aca="false">INDEX(PROYECCIÓN!$G$15:$G$45,PROYECCIÓN!$B$11+1)</f>
        <v>502169.24534427</v>
      </c>
    </row>
    <row r="28" customFormat="false" ht="15" hidden="false" customHeight="false" outlineLevel="0" collapsed="false">
      <c r="A28" s="38" t="s">
        <v>947</v>
      </c>
      <c r="B28" s="91" t="n">
        <f aca="false">INDEX(PROYECCIÓN!$H$15:$H$45,PROYECCIÓN!$B$11+1)</f>
        <v>264258.892926386</v>
      </c>
    </row>
    <row r="29" customFormat="false" ht="15" hidden="false" customHeight="false" outlineLevel="0" collapsed="false">
      <c r="A29" s="38" t="s">
        <v>948</v>
      </c>
      <c r="B29" s="91" t="n">
        <f aca="false">'MI FUTURO'!$I$11</f>
        <v>2339.19630975462</v>
      </c>
    </row>
    <row r="30" customFormat="false" ht="15" hidden="false" customHeight="false" outlineLevel="0" collapsed="false">
      <c r="A30" s="38" t="s">
        <v>949</v>
      </c>
      <c r="B30" s="93" t="n">
        <f aca="false">PROYECCIÓN!$B$92</f>
        <v>108</v>
      </c>
    </row>
    <row r="31" customFormat="false" ht="15" hidden="false" customHeight="false" outlineLevel="0" collapsed="false">
      <c r="A31" s="38" t="s">
        <v>950</v>
      </c>
      <c r="B31" s="93" t="n">
        <f aca="false">PROYECCIÓN!$B$93</f>
        <v>108</v>
      </c>
    </row>
    <row r="32" customFormat="false" ht="15" hidden="false" customHeight="false" outlineLevel="0" collapsed="false">
      <c r="A32" s="38" t="s">
        <v>951</v>
      </c>
      <c r="B32" s="93" t="n">
        <f aca="false">PARÁMETROS!$B$5+40</f>
        <v>107</v>
      </c>
    </row>
    <row r="33" customFormat="false" ht="15" hidden="false" customHeight="false" outlineLevel="0" collapsed="false">
      <c r="A33" s="38" t="s">
        <v>952</v>
      </c>
      <c r="B33" s="91" t="n">
        <f aca="false">INDEX(PROYECCIÓN!$O$15:$O$45,PROYECCIÓN!$B$11+1)</f>
        <v>488086.555909073</v>
      </c>
    </row>
    <row r="34" customFormat="false" ht="15" hidden="false" customHeight="false" outlineLevel="0" collapsed="false">
      <c r="A34" s="38" t="s">
        <v>953</v>
      </c>
      <c r="B34" s="92" t="n">
        <f aca="false">INDEX(PROYECCIÓN!$M$15:$M$45,PROYECCIÓN!$B$11+1)</f>
        <v>0.533678725972287</v>
      </c>
    </row>
    <row r="35" customFormat="false" ht="15" hidden="false" customHeight="false" outlineLevel="0" collapsed="false">
      <c r="A35" s="38" t="s">
        <v>954</v>
      </c>
      <c r="B35" s="92" t="n">
        <f aca="false">INDEX(PROYECCIÓN!$Q$15:$Q$45,PROYECCIÓN!$B$11+1)</f>
        <v>1.06946624254682</v>
      </c>
    </row>
    <row r="36" customFormat="false" ht="15" hidden="false" customHeight="false" outlineLevel="0" collapsed="false">
      <c r="A36" s="38" t="s">
        <v>955</v>
      </c>
      <c r="B36" s="91" t="n">
        <f aca="false">VIAJES!$B$4</f>
        <v>150</v>
      </c>
    </row>
    <row r="37" customFormat="false" ht="15" hidden="false" customHeight="false" outlineLevel="0" collapsed="false">
      <c r="A37" s="38" t="s">
        <v>956</v>
      </c>
      <c r="B37" s="93" t="n">
        <f aca="false">VIAJES!$B$7</f>
        <v>2026</v>
      </c>
    </row>
    <row r="38" customFormat="false" ht="15" hidden="false" customHeight="false" outlineLevel="0" collapsed="false">
      <c r="A38" s="38" t="s">
        <v>957</v>
      </c>
      <c r="B38" s="91" t="n">
        <f aca="false">VIAJES!$B$10</f>
        <v>1900</v>
      </c>
    </row>
    <row r="39" customFormat="false" ht="15" hidden="false" customHeight="false" outlineLevel="0" collapsed="false">
      <c r="A39" s="38" t="s">
        <v>958</v>
      </c>
      <c r="B39" s="35" t="str">
        <f aca="false">VIAJES!$B$12</f>
        <v>✅ Llega para todos los viajes apuntados</v>
      </c>
    </row>
    <row r="40" customFormat="false" ht="15" hidden="false" customHeight="false" outlineLevel="0" collapsed="false">
      <c r="A40" s="38" t="s">
        <v>959</v>
      </c>
      <c r="B40" s="35" t="str">
        <f aca="false">'MI FUTURO'!$A$43</f>
        <v>Decisiones: 0 € del efectivo a inversión, +0 €/mes a inversión, −0 €/mes de gastos, compra de la vivienda (Comprar ya). Comprar pasa dinero líquido a ladrillo: mira las dos filas.</v>
      </c>
    </row>
    <row r="42" customFormat="false" ht="15" hidden="false" customHeight="false" outlineLevel="0" collapsed="false">
      <c r="A42" s="88" t="s">
        <v>960</v>
      </c>
    </row>
    <row r="43" customFormat="false" ht="15" hidden="false" customHeight="false" outlineLevel="0" collapsed="false">
      <c r="A43" s="89" t="s">
        <v>961</v>
      </c>
      <c r="B43" s="89" t="s">
        <v>928</v>
      </c>
      <c r="C43" s="89" t="s">
        <v>929</v>
      </c>
      <c r="D43" s="89" t="s">
        <v>930</v>
      </c>
      <c r="E43" s="89" t="s">
        <v>962</v>
      </c>
      <c r="F43" s="89" t="s">
        <v>963</v>
      </c>
      <c r="G43" s="89" t="s">
        <v>964</v>
      </c>
      <c r="H43" s="89" t="s">
        <v>965</v>
      </c>
      <c r="I43" s="89" t="s">
        <v>966</v>
      </c>
      <c r="J43" s="89" t="s">
        <v>967</v>
      </c>
      <c r="K43" s="89" t="s">
        <v>968</v>
      </c>
      <c r="L43" s="89" t="s">
        <v>969</v>
      </c>
      <c r="M43" s="89" t="s">
        <v>970</v>
      </c>
      <c r="N43" s="89" t="s">
        <v>971</v>
      </c>
      <c r="O43" s="89" t="s">
        <v>972</v>
      </c>
      <c r="P43" s="89" t="s">
        <v>973</v>
      </c>
      <c r="Q43" s="89" t="s">
        <v>974</v>
      </c>
      <c r="R43" s="89" t="s">
        <v>975</v>
      </c>
    </row>
    <row r="44" customFormat="false" ht="15" hidden="false" customHeight="false" outlineLevel="0" collapsed="false">
      <c r="A44" s="95" t="n">
        <f aca="false">IF('MIS DATOS'!A6="","",'MIS DATOS'!A6)</f>
        <v>45931</v>
      </c>
      <c r="B44" s="91" t="n">
        <f aca="false">IF($A44="","",'MIS DATOS'!B6)</f>
        <v>3446.26</v>
      </c>
      <c r="C44" s="91" t="n">
        <f aca="false">IF($A44="","",'MIS DATOS'!C6)</f>
        <v>1080</v>
      </c>
      <c r="D44" s="91" t="n">
        <f aca="false">IF($A44="","",'MIS DATOS'!D6)</f>
        <v>52332.69</v>
      </c>
      <c r="E44" s="96" t="n">
        <f aca="false">IF($A44="","",'MIS DATOS'!G6)</f>
        <v>2182.69</v>
      </c>
      <c r="F44" s="96" t="n">
        <f aca="false">IF($A44="","",'MIS DATOS'!H6)</f>
        <v>1569.48</v>
      </c>
      <c r="G44" s="96" t="n">
        <f aca="false">IF($A44="","",'MIS DATOS'!I6)</f>
        <v>613.21</v>
      </c>
      <c r="H44" s="93" t="n">
        <f aca="false">IF($A44="","",'MIS DATOS'!N6)</f>
        <v>1</v>
      </c>
      <c r="I44" s="35" t="n">
        <f aca="false">IF($A44="","",-SUMIFS(MOVIMIENTOS!$E$4:$E$20000,MOVIMIENTOS!$B$4:$B$20000,$A44,MOVIMIENTOS!$I$4:$I$20000,"Casa",MOVIMIENTOS!$H$4:$H$20000,"Gasto"))</f>
        <v>963.8</v>
      </c>
      <c r="J44" s="35" t="n">
        <f aca="false">IF($A44="","",-SUMIFS(MOVIMIENTOS!$E$4:$E$20000,MOVIMIENTOS!$B$4:$B$20000,$A44,MOVIMIENTOS!$I$4:$I$20000,"Comida",MOVIMIENTOS!$H$4:$H$20000,"Gasto")+SUMIFS(FLEXIBLE!$B$4:$B$200,FLEXIBLE!$F$4:$F$200,$A44))</f>
        <v>293.52</v>
      </c>
      <c r="K44" s="35" t="n">
        <f aca="false">IF($A44="","",-SUMIFS(MOVIMIENTOS!$E$4:$E$20000,MOVIMIENTOS!$B$4:$B$20000,$A44,MOVIMIENTOS!$I$4:$I$20000,"Transporte",MOVIMIENTOS!$H$4:$H$20000,"Gasto")+SUMIFS(FLEXIBLE!$C$4:$C$200,FLEXIBLE!$F$4:$F$200,$A44))</f>
        <v>71.05</v>
      </c>
      <c r="L44" s="35" t="n">
        <f aca="false">IF($A44="","",-SUMIFS(MOVIMIENTOS!$E$4:$E$20000,MOVIMIENTOS!$B$4:$B$20000,$A44,MOVIMIENTOS!$I$4:$I$20000,"Salud",MOVIMIENTOS!$H$4:$H$20000,"Gasto"))</f>
        <v>14.76</v>
      </c>
      <c r="M44" s="35" t="n">
        <f aca="false">IF($A44="","",-SUMIFS(MOVIMIENTOS!$E$4:$E$20000,MOVIMIENTOS!$B$4:$B$20000,$A44,MOVIMIENTOS!$I$4:$I$20000,"Seguros",MOVIMIENTOS!$H$4:$H$20000,"Gasto"))</f>
        <v>-0</v>
      </c>
      <c r="N44" s="35" t="n">
        <f aca="false">IF($A44="","",-SUMIFS(MOVIMIENTOS!$E$4:$E$20000,MOVIMIENTOS!$B$4:$B$20000,$A44,MOVIMIENTOS!$I$4:$I$20000,"Personal",MOVIMIENTOS!$H$4:$H$20000,"Gasto"))</f>
        <v>60.1</v>
      </c>
      <c r="O44" s="35" t="n">
        <f aca="false">IF($A44="","",-SUMIFS(MOVIMIENTOS!$E$4:$E$20000,MOVIMIENTOS!$B$4:$B$20000,$A44,MOVIMIENTOS!$I$4:$I$20000,"Ocio",MOVIMIENTOS!$H$4:$H$20000,"Gasto"))</f>
        <v>16.25</v>
      </c>
      <c r="P44" s="35" t="n">
        <f aca="false">IF($A44="","",-SUMIFS(MOVIMIENTOS!$E$4:$E$20000,MOVIMIENTOS!$B$4:$B$20000,$A44,MOVIMIENTOS!$I$4:$I$20000,"Viajes",MOVIMIENTOS!$H$4:$H$20000,"Gasto"))</f>
        <v>150</v>
      </c>
      <c r="Q44" s="35" t="n">
        <f aca="false">IF($A44="","",-SUMIFS(MOVIMIENTOS!$E$4:$E$20000,MOVIMIENTOS!$B$4:$B$20000,$A44,MOVIMIENTOS!$I$4:$I$20000,"Efectivo",MOVIMIENTOS!$H$4:$H$20000,"Gasto"))</f>
        <v>-0</v>
      </c>
      <c r="R44" s="35" t="n">
        <f aca="false">IF($A44="","",-SUMIFS(MOVIMIENTOS!$E$4:$E$20000,MOVIMIENTOS!$B$4:$B$20000,$A44,MOVIMIENTOS!$I$4:$I$20000,"Otros",MOVIMIENTOS!$H$4:$H$20000,"Gasto"))</f>
        <v>-0</v>
      </c>
    </row>
    <row r="45" customFormat="false" ht="15" hidden="false" customHeight="false" outlineLevel="0" collapsed="false">
      <c r="A45" s="95" t="n">
        <f aca="false">IF('MIS DATOS'!A7="","",'MIS DATOS'!A7)</f>
        <v>45962</v>
      </c>
      <c r="B45" s="91" t="n">
        <f aca="false">IF($A45="","",'MIS DATOS'!B7)</f>
        <v>3570.92</v>
      </c>
      <c r="C45" s="91" t="n">
        <f aca="false">IF($A45="","",'MIS DATOS'!C7)</f>
        <v>1114.26</v>
      </c>
      <c r="D45" s="91" t="n">
        <f aca="false">IF($A45="","",'MIS DATOS'!D7)</f>
        <v>52665.59</v>
      </c>
      <c r="E45" s="96" t="n">
        <f aca="false">IF($A45="","",'MIS DATOS'!G7)</f>
        <v>2182.9</v>
      </c>
      <c r="F45" s="96" t="n">
        <f aca="false">IF($A45="","",'MIS DATOS'!H7)</f>
        <v>1735.4</v>
      </c>
      <c r="G45" s="96" t="n">
        <f aca="false">IF($A45="","",'MIS DATOS'!I7)</f>
        <v>447.5</v>
      </c>
      <c r="H45" s="93" t="n">
        <f aca="false">IF($A45="","",'MIS DATOS'!N7)</f>
        <v>1</v>
      </c>
      <c r="I45" s="35" t="n">
        <f aca="false">IF($A45="","",-SUMIFS(MOVIMIENTOS!$E$4:$E$20000,MOVIMIENTOS!$B$4:$B$20000,$A45,MOVIMIENTOS!$I$4:$I$20000,"Casa",MOVIMIENTOS!$H$4:$H$20000,"Gasto"))</f>
        <v>940.22</v>
      </c>
      <c r="J45" s="35" t="n">
        <f aca="false">IF($A45="","",-SUMIFS(MOVIMIENTOS!$E$4:$E$20000,MOVIMIENTOS!$B$4:$B$20000,$A45,MOVIMIENTOS!$I$4:$I$20000,"Comida",MOVIMIENTOS!$H$4:$H$20000,"Gasto")+SUMIFS(FLEXIBLE!$B$4:$B$200,FLEXIBLE!$F$4:$F$200,$A45))</f>
        <v>339.89</v>
      </c>
      <c r="K45" s="35" t="n">
        <f aca="false">IF($A45="","",-SUMIFS(MOVIMIENTOS!$E$4:$E$20000,MOVIMIENTOS!$B$4:$B$20000,$A45,MOVIMIENTOS!$I$4:$I$20000,"Transporte",MOVIMIENTOS!$H$4:$H$20000,"Gasto")+SUMIFS(FLEXIBLE!$C$4:$C$200,FLEXIBLE!$F$4:$F$200,$A45))</f>
        <v>64.06</v>
      </c>
      <c r="L45" s="35" t="n">
        <f aca="false">IF($A45="","",-SUMIFS(MOVIMIENTOS!$E$4:$E$20000,MOVIMIENTOS!$B$4:$B$20000,$A45,MOVIMIENTOS!$I$4:$I$20000,"Salud",MOVIMIENTOS!$H$4:$H$20000,"Gasto"))</f>
        <v>22.02</v>
      </c>
      <c r="M45" s="35" t="n">
        <f aca="false">IF($A45="","",-SUMIFS(MOVIMIENTOS!$E$4:$E$20000,MOVIMIENTOS!$B$4:$B$20000,$A45,MOVIMIENTOS!$I$4:$I$20000,"Seguros",MOVIMIENTOS!$H$4:$H$20000,"Gasto"))</f>
        <v>-0</v>
      </c>
      <c r="N45" s="35" t="n">
        <f aca="false">IF($A45="","",-SUMIFS(MOVIMIENTOS!$E$4:$E$20000,MOVIMIENTOS!$B$4:$B$20000,$A45,MOVIMIENTOS!$I$4:$I$20000,"Personal",MOVIMIENTOS!$H$4:$H$20000,"Gasto"))</f>
        <v>203.48</v>
      </c>
      <c r="O45" s="35" t="n">
        <f aca="false">IF($A45="","",-SUMIFS(MOVIMIENTOS!$E$4:$E$20000,MOVIMIENTOS!$B$4:$B$20000,$A45,MOVIMIENTOS!$I$4:$I$20000,"Ocio",MOVIMIENTOS!$H$4:$H$20000,"Gasto"))</f>
        <v>15.73</v>
      </c>
      <c r="P45" s="35" t="n">
        <f aca="false">IF($A45="","",-SUMIFS(MOVIMIENTOS!$E$4:$E$20000,MOVIMIENTOS!$B$4:$B$20000,$A45,MOVIMIENTOS!$I$4:$I$20000,"Viajes",MOVIMIENTOS!$H$4:$H$20000,"Gasto"))</f>
        <v>150</v>
      </c>
      <c r="Q45" s="35" t="n">
        <f aca="false">IF($A45="","",-SUMIFS(MOVIMIENTOS!$E$4:$E$20000,MOVIMIENTOS!$B$4:$B$20000,$A45,MOVIMIENTOS!$I$4:$I$20000,"Efectivo",MOVIMIENTOS!$H$4:$H$20000,"Gasto"))</f>
        <v>-0</v>
      </c>
      <c r="R45" s="35" t="n">
        <f aca="false">IF($A45="","",-SUMIFS(MOVIMIENTOS!$E$4:$E$20000,MOVIMIENTOS!$B$4:$B$20000,$A45,MOVIMIENTOS!$I$4:$I$20000,"Otros",MOVIMIENTOS!$H$4:$H$20000,"Gasto"))</f>
        <v>-0</v>
      </c>
    </row>
    <row r="46" customFormat="false" ht="15" hidden="false" customHeight="false" outlineLevel="0" collapsed="false">
      <c r="A46" s="95" t="n">
        <f aca="false">IF('MIS DATOS'!A8="","",'MIS DATOS'!A8)</f>
        <v>45992</v>
      </c>
      <c r="B46" s="91" t="n">
        <f aca="false">IF($A46="","",'MIS DATOS'!B8)</f>
        <v>5931.77</v>
      </c>
      <c r="C46" s="91" t="n">
        <f aca="false">IF($A46="","",'MIS DATOS'!C8)</f>
        <v>1104.2</v>
      </c>
      <c r="D46" s="91" t="n">
        <f aca="false">IF($A46="","",'MIS DATOS'!D8)</f>
        <v>52998.69</v>
      </c>
      <c r="E46" s="96" t="n">
        <f aca="false">IF($A46="","",'MIS DATOS'!G8)</f>
        <v>4333.1</v>
      </c>
      <c r="F46" s="96" t="n">
        <f aca="false">IF($A46="","",'MIS DATOS'!H8)</f>
        <v>1599.67</v>
      </c>
      <c r="G46" s="96" t="n">
        <f aca="false">IF($A46="","",'MIS DATOS'!I8)</f>
        <v>2733.43</v>
      </c>
      <c r="H46" s="93" t="n">
        <f aca="false">IF($A46="","",'MIS DATOS'!N8)</f>
        <v>1</v>
      </c>
      <c r="I46" s="35" t="n">
        <f aca="false">IF($A46="","",-SUMIFS(MOVIMIENTOS!$E$4:$E$20000,MOVIMIENTOS!$B$4:$B$20000,$A46,MOVIMIENTOS!$I$4:$I$20000,"Casa",MOVIMIENTOS!$H$4:$H$20000,"Gasto"))</f>
        <v>980.21</v>
      </c>
      <c r="J46" s="35" t="n">
        <f aca="false">IF($A46="","",-SUMIFS(MOVIMIENTOS!$E$4:$E$20000,MOVIMIENTOS!$B$4:$B$20000,$A46,MOVIMIENTOS!$I$4:$I$20000,"Comida",MOVIMIENTOS!$H$4:$H$20000,"Gasto")+SUMIFS(FLEXIBLE!$B$4:$B$200,FLEXIBLE!$F$4:$F$200,$A46))</f>
        <v>320.48</v>
      </c>
      <c r="K46" s="35" t="n">
        <f aca="false">IF($A46="","",-SUMIFS(MOVIMIENTOS!$E$4:$E$20000,MOVIMIENTOS!$B$4:$B$20000,$A46,MOVIMIENTOS!$I$4:$I$20000,"Transporte",MOVIMIENTOS!$H$4:$H$20000,"Gasto")+SUMIFS(FLEXIBLE!$C$4:$C$200,FLEXIBLE!$F$4:$F$200,$A46))</f>
        <v>61.07</v>
      </c>
      <c r="L46" s="35" t="n">
        <f aca="false">IF($A46="","",-SUMIFS(MOVIMIENTOS!$E$4:$E$20000,MOVIMIENTOS!$B$4:$B$20000,$A46,MOVIMIENTOS!$I$4:$I$20000,"Salud",MOVIMIENTOS!$H$4:$H$20000,"Gasto"))</f>
        <v>26.87</v>
      </c>
      <c r="M46" s="35" t="n">
        <f aca="false">IF($A46="","",-SUMIFS(MOVIMIENTOS!$E$4:$E$20000,MOVIMIENTOS!$B$4:$B$20000,$A46,MOVIMIENTOS!$I$4:$I$20000,"Seguros",MOVIMIENTOS!$H$4:$H$20000,"Gasto"))</f>
        <v>-0</v>
      </c>
      <c r="N46" s="35" t="n">
        <f aca="false">IF($A46="","",-SUMIFS(MOVIMIENTOS!$E$4:$E$20000,MOVIMIENTOS!$B$4:$B$20000,$A46,MOVIMIENTOS!$I$4:$I$20000,"Personal",MOVIMIENTOS!$H$4:$H$20000,"Gasto"))</f>
        <v>48.14</v>
      </c>
      <c r="O46" s="35" t="n">
        <f aca="false">IF($A46="","",-SUMIFS(MOVIMIENTOS!$E$4:$E$20000,MOVIMIENTOS!$B$4:$B$20000,$A46,MOVIMIENTOS!$I$4:$I$20000,"Ocio",MOVIMIENTOS!$H$4:$H$20000,"Gasto"))</f>
        <v>12.9</v>
      </c>
      <c r="P46" s="35" t="n">
        <f aca="false">IF($A46="","",-SUMIFS(MOVIMIENTOS!$E$4:$E$20000,MOVIMIENTOS!$B$4:$B$20000,$A46,MOVIMIENTOS!$I$4:$I$20000,"Viajes",MOVIMIENTOS!$H$4:$H$20000,"Gasto"))</f>
        <v>150</v>
      </c>
      <c r="Q46" s="35" t="n">
        <f aca="false">IF($A46="","",-SUMIFS(MOVIMIENTOS!$E$4:$E$20000,MOVIMIENTOS!$B$4:$B$20000,$A46,MOVIMIENTOS!$I$4:$I$20000,"Efectivo",MOVIMIENTOS!$H$4:$H$20000,"Gasto"))</f>
        <v>-0</v>
      </c>
      <c r="R46" s="35" t="n">
        <f aca="false">IF($A46="","",-SUMIFS(MOVIMIENTOS!$E$4:$E$20000,MOVIMIENTOS!$B$4:$B$20000,$A46,MOVIMIENTOS!$I$4:$I$20000,"Otros",MOVIMIENTOS!$H$4:$H$20000,"Gasto"))</f>
        <v>-0</v>
      </c>
    </row>
    <row r="47" customFormat="false" ht="15" hidden="false" customHeight="false" outlineLevel="0" collapsed="false">
      <c r="A47" s="95" t="n">
        <f aca="false">IF('MIS DATOS'!A9="","",'MIS DATOS'!A9)</f>
        <v>46023</v>
      </c>
      <c r="B47" s="91" t="n">
        <f aca="false">IF($A47="","",'MIS DATOS'!B9)</f>
        <v>6101.39</v>
      </c>
      <c r="C47" s="91" t="n">
        <f aca="false">IF($A47="","",'MIS DATOS'!C9)</f>
        <v>1143.68</v>
      </c>
      <c r="D47" s="91" t="n">
        <f aca="false">IF($A47="","",'MIS DATOS'!D9)</f>
        <v>53332</v>
      </c>
      <c r="E47" s="96" t="n">
        <f aca="false">IF($A47="","",'MIS DATOS'!G9)</f>
        <v>2183.31</v>
      </c>
      <c r="F47" s="96" t="n">
        <f aca="false">IF($A47="","",'MIS DATOS'!H9)</f>
        <v>1714.98</v>
      </c>
      <c r="G47" s="96" t="n">
        <f aca="false">IF($A47="","",'MIS DATOS'!I9)</f>
        <v>468.33</v>
      </c>
      <c r="H47" s="93" t="n">
        <f aca="false">IF($A47="","",'MIS DATOS'!N9)</f>
        <v>1</v>
      </c>
      <c r="I47" s="35" t="n">
        <f aca="false">IF($A47="","",-SUMIFS(MOVIMIENTOS!$E$4:$E$20000,MOVIMIENTOS!$B$4:$B$20000,$A47,MOVIMIENTOS!$I$4:$I$20000,"Casa",MOVIMIENTOS!$H$4:$H$20000,"Gasto"))</f>
        <v>953.44</v>
      </c>
      <c r="J47" s="35" t="n">
        <f aca="false">IF($A47="","",-SUMIFS(MOVIMIENTOS!$E$4:$E$20000,MOVIMIENTOS!$B$4:$B$20000,$A47,MOVIMIENTOS!$I$4:$I$20000,"Comida",MOVIMIENTOS!$H$4:$H$20000,"Gasto")+SUMIFS(FLEXIBLE!$B$4:$B$200,FLEXIBLE!$F$4:$F$200,$A47))</f>
        <v>431.23</v>
      </c>
      <c r="K47" s="35" t="n">
        <f aca="false">IF($A47="","",-SUMIFS(MOVIMIENTOS!$E$4:$E$20000,MOVIMIENTOS!$B$4:$B$20000,$A47,MOVIMIENTOS!$I$4:$I$20000,"Transporte",MOVIMIENTOS!$H$4:$H$20000,"Gasto")+SUMIFS(FLEXIBLE!$C$4:$C$200,FLEXIBLE!$F$4:$F$200,$A47))</f>
        <v>61.61</v>
      </c>
      <c r="L47" s="35" t="n">
        <f aca="false">IF($A47="","",-SUMIFS(MOVIMIENTOS!$E$4:$E$20000,MOVIMIENTOS!$B$4:$B$20000,$A47,MOVIMIENTOS!$I$4:$I$20000,"Salud",MOVIMIENTOS!$H$4:$H$20000,"Gasto"))</f>
        <v>24.69</v>
      </c>
      <c r="M47" s="35" t="n">
        <f aca="false">IF($A47="","",-SUMIFS(MOVIMIENTOS!$E$4:$E$20000,MOVIMIENTOS!$B$4:$B$20000,$A47,MOVIMIENTOS!$I$4:$I$20000,"Seguros",MOVIMIENTOS!$H$4:$H$20000,"Gasto"))</f>
        <v>-0</v>
      </c>
      <c r="N47" s="35" t="n">
        <f aca="false">IF($A47="","",-SUMIFS(MOVIMIENTOS!$E$4:$E$20000,MOVIMIENTOS!$B$4:$B$20000,$A47,MOVIMIENTOS!$I$4:$I$20000,"Personal",MOVIMIENTOS!$H$4:$H$20000,"Gasto"))</f>
        <v>78.83</v>
      </c>
      <c r="O47" s="35" t="n">
        <f aca="false">IF($A47="","",-SUMIFS(MOVIMIENTOS!$E$4:$E$20000,MOVIMIENTOS!$B$4:$B$20000,$A47,MOVIMIENTOS!$I$4:$I$20000,"Ocio",MOVIMIENTOS!$H$4:$H$20000,"Gasto"))</f>
        <v>15.18</v>
      </c>
      <c r="P47" s="35" t="n">
        <f aca="false">IF($A47="","",-SUMIFS(MOVIMIENTOS!$E$4:$E$20000,MOVIMIENTOS!$B$4:$B$20000,$A47,MOVIMIENTOS!$I$4:$I$20000,"Viajes",MOVIMIENTOS!$H$4:$H$20000,"Gasto"))</f>
        <v>150</v>
      </c>
      <c r="Q47" s="35" t="n">
        <f aca="false">IF($A47="","",-SUMIFS(MOVIMIENTOS!$E$4:$E$20000,MOVIMIENTOS!$B$4:$B$20000,$A47,MOVIMIENTOS!$I$4:$I$20000,"Efectivo",MOVIMIENTOS!$H$4:$H$20000,"Gasto"))</f>
        <v>-0</v>
      </c>
      <c r="R47" s="35" t="n">
        <f aca="false">IF($A47="","",-SUMIFS(MOVIMIENTOS!$E$4:$E$20000,MOVIMIENTOS!$B$4:$B$20000,$A47,MOVIMIENTOS!$I$4:$I$20000,"Otros",MOVIMIENTOS!$H$4:$H$20000,"Gasto"))</f>
        <v>-0</v>
      </c>
    </row>
    <row r="48" customFormat="false" ht="15" hidden="false" customHeight="false" outlineLevel="0" collapsed="false">
      <c r="A48" s="95" t="n">
        <f aca="false">IF('MIS DATOS'!A10="","",'MIS DATOS'!A10)</f>
        <v>46054</v>
      </c>
      <c r="B48" s="91" t="n">
        <f aca="false">IF($A48="","",'MIS DATOS'!B10)</f>
        <v>6319.16</v>
      </c>
      <c r="C48" s="91" t="n">
        <f aca="false">IF($A48="","",'MIS DATOS'!C10)</f>
        <v>1109.08</v>
      </c>
      <c r="D48" s="91" t="n">
        <f aca="false">IF($A48="","",'MIS DATOS'!D10)</f>
        <v>53665.52</v>
      </c>
      <c r="E48" s="96" t="n">
        <f aca="false">IF($A48="","",'MIS DATOS'!G10)</f>
        <v>2183.52</v>
      </c>
      <c r="F48" s="96" t="n">
        <f aca="false">IF($A48="","",'MIS DATOS'!H10)</f>
        <v>1587.05</v>
      </c>
      <c r="G48" s="96" t="n">
        <f aca="false">IF($A48="","",'MIS DATOS'!I10)</f>
        <v>596.47</v>
      </c>
      <c r="H48" s="93" t="n">
        <f aca="false">IF($A48="","",'MIS DATOS'!N10)</f>
        <v>1</v>
      </c>
      <c r="I48" s="35" t="n">
        <f aca="false">IF($A48="","",-SUMIFS(MOVIMIENTOS!$E$4:$E$20000,MOVIMIENTOS!$B$4:$B$20000,$A48,MOVIMIENTOS!$I$4:$I$20000,"Casa",MOVIMIENTOS!$H$4:$H$20000,"Gasto"))</f>
        <v>977.29</v>
      </c>
      <c r="J48" s="35" t="n">
        <f aca="false">IF($A48="","",-SUMIFS(MOVIMIENTOS!$E$4:$E$20000,MOVIMIENTOS!$B$4:$B$20000,$A48,MOVIMIENTOS!$I$4:$I$20000,"Comida",MOVIMIENTOS!$H$4:$H$20000,"Gasto")+SUMIFS(FLEXIBLE!$B$4:$B$200,FLEXIBLE!$F$4:$F$200,$A48))</f>
        <v>290.66</v>
      </c>
      <c r="K48" s="35" t="n">
        <f aca="false">IF($A48="","",-SUMIFS(MOVIMIENTOS!$E$4:$E$20000,MOVIMIENTOS!$B$4:$B$20000,$A48,MOVIMIENTOS!$I$4:$I$20000,"Transporte",MOVIMIENTOS!$H$4:$H$20000,"Gasto")+SUMIFS(FLEXIBLE!$C$4:$C$200,FLEXIBLE!$F$4:$F$200,$A48))</f>
        <v>74.58</v>
      </c>
      <c r="L48" s="35" t="n">
        <f aca="false">IF($A48="","",-SUMIFS(MOVIMIENTOS!$E$4:$E$20000,MOVIMIENTOS!$B$4:$B$20000,$A48,MOVIMIENTOS!$I$4:$I$20000,"Salud",MOVIMIENTOS!$H$4:$H$20000,"Gasto"))</f>
        <v>24.95</v>
      </c>
      <c r="M48" s="35" t="n">
        <f aca="false">IF($A48="","",-SUMIFS(MOVIMIENTOS!$E$4:$E$20000,MOVIMIENTOS!$B$4:$B$20000,$A48,MOVIMIENTOS!$I$4:$I$20000,"Seguros",MOVIMIENTOS!$H$4:$H$20000,"Gasto"))</f>
        <v>-0</v>
      </c>
      <c r="N48" s="35" t="n">
        <f aca="false">IF($A48="","",-SUMIFS(MOVIMIENTOS!$E$4:$E$20000,MOVIMIENTOS!$B$4:$B$20000,$A48,MOVIMIENTOS!$I$4:$I$20000,"Personal",MOVIMIENTOS!$H$4:$H$20000,"Gasto"))</f>
        <v>53.95</v>
      </c>
      <c r="O48" s="35" t="n">
        <f aca="false">IF($A48="","",-SUMIFS(MOVIMIENTOS!$E$4:$E$20000,MOVIMIENTOS!$B$4:$B$20000,$A48,MOVIMIENTOS!$I$4:$I$20000,"Ocio",MOVIMIENTOS!$H$4:$H$20000,"Gasto"))</f>
        <v>15.62</v>
      </c>
      <c r="P48" s="35" t="n">
        <f aca="false">IF($A48="","",-SUMIFS(MOVIMIENTOS!$E$4:$E$20000,MOVIMIENTOS!$B$4:$B$20000,$A48,MOVIMIENTOS!$I$4:$I$20000,"Viajes",MOVIMIENTOS!$H$4:$H$20000,"Gasto"))</f>
        <v>150</v>
      </c>
      <c r="Q48" s="35" t="n">
        <f aca="false">IF($A48="","",-SUMIFS(MOVIMIENTOS!$E$4:$E$20000,MOVIMIENTOS!$B$4:$B$20000,$A48,MOVIMIENTOS!$I$4:$I$20000,"Efectivo",MOVIMIENTOS!$H$4:$H$20000,"Gasto"))</f>
        <v>-0</v>
      </c>
      <c r="R48" s="35" t="n">
        <f aca="false">IF($A48="","",-SUMIFS(MOVIMIENTOS!$E$4:$E$20000,MOVIMIENTOS!$B$4:$B$20000,$A48,MOVIMIENTOS!$I$4:$I$20000,"Otros",MOVIMIENTOS!$H$4:$H$20000,"Gasto"))</f>
        <v>-0</v>
      </c>
    </row>
    <row r="49" customFormat="false" ht="15" hidden="false" customHeight="false" outlineLevel="0" collapsed="false">
      <c r="A49" s="95" t="n">
        <f aca="false">IF('MIS DATOS'!A11="","",'MIS DATOS'!A11)</f>
        <v>46082</v>
      </c>
      <c r="B49" s="91" t="n">
        <f aca="false">IF($A49="","",'MIS DATOS'!B11)</f>
        <v>6481.69</v>
      </c>
      <c r="C49" s="91" t="n">
        <f aca="false">IF($A49="","",'MIS DATOS'!C11)</f>
        <v>1154.26</v>
      </c>
      <c r="D49" s="91" t="n">
        <f aca="false">IF($A49="","",'MIS DATOS'!D11)</f>
        <v>53999.25</v>
      </c>
      <c r="E49" s="96" t="n">
        <f aca="false">IF($A49="","",'MIS DATOS'!G11)</f>
        <v>2183.73</v>
      </c>
      <c r="F49" s="96" t="n">
        <f aca="false">IF($A49="","",'MIS DATOS'!H11)</f>
        <v>1605.51</v>
      </c>
      <c r="G49" s="96" t="n">
        <f aca="false">IF($A49="","",'MIS DATOS'!I11)</f>
        <v>578.22</v>
      </c>
      <c r="H49" s="93" t="n">
        <f aca="false">IF($A49="","",'MIS DATOS'!N11)</f>
        <v>1</v>
      </c>
      <c r="I49" s="35" t="n">
        <f aca="false">IF($A49="","",-SUMIFS(MOVIMIENTOS!$E$4:$E$20000,MOVIMIENTOS!$B$4:$B$20000,$A49,MOVIMIENTOS!$I$4:$I$20000,"Casa",MOVIMIENTOS!$H$4:$H$20000,"Gasto"))</f>
        <v>1078.53</v>
      </c>
      <c r="J49" s="35" t="n">
        <f aca="false">IF($A49="","",-SUMIFS(MOVIMIENTOS!$E$4:$E$20000,MOVIMIENTOS!$B$4:$B$20000,$A49,MOVIMIENTOS!$I$4:$I$20000,"Comida",MOVIMIENTOS!$H$4:$H$20000,"Gasto")+SUMIFS(FLEXIBLE!$B$4:$B$200,FLEXIBLE!$F$4:$F$200,$A49))</f>
        <v>197.42</v>
      </c>
      <c r="K49" s="35" t="n">
        <f aca="false">IF($A49="","",-SUMIFS(MOVIMIENTOS!$E$4:$E$20000,MOVIMIENTOS!$B$4:$B$20000,$A49,MOVIMIENTOS!$I$4:$I$20000,"Transporte",MOVIMIENTOS!$H$4:$H$20000,"Gasto")+SUMIFS(FLEXIBLE!$C$4:$C$200,FLEXIBLE!$F$4:$F$200,$A49))</f>
        <v>74.23</v>
      </c>
      <c r="L49" s="35" t="n">
        <f aca="false">IF($A49="","",-SUMIFS(MOVIMIENTOS!$E$4:$E$20000,MOVIMIENTOS!$B$4:$B$20000,$A49,MOVIMIENTOS!$I$4:$I$20000,"Salud",MOVIMIENTOS!$H$4:$H$20000,"Gasto"))</f>
        <v>13.5</v>
      </c>
      <c r="M49" s="35" t="n">
        <f aca="false">IF($A49="","",-SUMIFS(MOVIMIENTOS!$E$4:$E$20000,MOVIMIENTOS!$B$4:$B$20000,$A49,MOVIMIENTOS!$I$4:$I$20000,"Seguros",MOVIMIENTOS!$H$4:$H$20000,"Gasto"))</f>
        <v>-0</v>
      </c>
      <c r="N49" s="35" t="n">
        <f aca="false">IF($A49="","",-SUMIFS(MOVIMIENTOS!$E$4:$E$20000,MOVIMIENTOS!$B$4:$B$20000,$A49,MOVIMIENTOS!$I$4:$I$20000,"Personal",MOVIMIENTOS!$H$4:$H$20000,"Gasto"))</f>
        <v>77.18</v>
      </c>
      <c r="O49" s="35" t="n">
        <f aca="false">IF($A49="","",-SUMIFS(MOVIMIENTOS!$E$4:$E$20000,MOVIMIENTOS!$B$4:$B$20000,$A49,MOVIMIENTOS!$I$4:$I$20000,"Ocio",MOVIMIENTOS!$H$4:$H$20000,"Gasto"))</f>
        <v>14.65</v>
      </c>
      <c r="P49" s="35" t="n">
        <f aca="false">IF($A49="","",-SUMIFS(MOVIMIENTOS!$E$4:$E$20000,MOVIMIENTOS!$B$4:$B$20000,$A49,MOVIMIENTOS!$I$4:$I$20000,"Viajes",MOVIMIENTOS!$H$4:$H$20000,"Gasto"))</f>
        <v>150</v>
      </c>
      <c r="Q49" s="35" t="n">
        <f aca="false">IF($A49="","",-SUMIFS(MOVIMIENTOS!$E$4:$E$20000,MOVIMIENTOS!$B$4:$B$20000,$A49,MOVIMIENTOS!$I$4:$I$20000,"Efectivo",MOVIMIENTOS!$H$4:$H$20000,"Gasto"))</f>
        <v>-0</v>
      </c>
      <c r="R49" s="35" t="n">
        <f aca="false">IF($A49="","",-SUMIFS(MOVIMIENTOS!$E$4:$E$20000,MOVIMIENTOS!$B$4:$B$20000,$A49,MOVIMIENTOS!$I$4:$I$20000,"Otros",MOVIMIENTOS!$H$4:$H$20000,"Gasto"))</f>
        <v>-0</v>
      </c>
    </row>
    <row r="50" customFormat="false" ht="15" hidden="false" customHeight="false" outlineLevel="0" collapsed="false">
      <c r="A50" s="95" t="n">
        <f aca="false">IF('MIS DATOS'!A12="","",'MIS DATOS'!A12)</f>
        <v>46113</v>
      </c>
      <c r="B50" s="91" t="n">
        <f aca="false">IF($A50="","",'MIS DATOS'!B12)</f>
        <v>6640.62</v>
      </c>
      <c r="C50" s="91" t="n">
        <f aca="false">IF($A50="","",'MIS DATOS'!C12)</f>
        <v>1236.22</v>
      </c>
      <c r="D50" s="91" t="n">
        <f aca="false">IF($A50="","",'MIS DATOS'!D12)</f>
        <v>54333.19</v>
      </c>
      <c r="E50" s="96" t="n">
        <f aca="false">IF($A50="","",'MIS DATOS'!G12)</f>
        <v>2183.94</v>
      </c>
      <c r="F50" s="96" t="n">
        <f aca="false">IF($A50="","",'MIS DATOS'!H12)</f>
        <v>1640.04</v>
      </c>
      <c r="G50" s="96" t="n">
        <f aca="false">IF($A50="","",'MIS DATOS'!I12)</f>
        <v>543.9</v>
      </c>
      <c r="H50" s="93" t="n">
        <f aca="false">IF($A50="","",'MIS DATOS'!N12)</f>
        <v>1</v>
      </c>
      <c r="I50" s="35" t="n">
        <f aca="false">IF($A50="","",-SUMIFS(MOVIMIENTOS!$E$4:$E$20000,MOVIMIENTOS!$B$4:$B$20000,$A50,MOVIMIENTOS!$I$4:$I$20000,"Casa",MOVIMIENTOS!$H$4:$H$20000,"Gasto"))</f>
        <v>960.07</v>
      </c>
      <c r="J50" s="35" t="n">
        <f aca="false">IF($A50="","",-SUMIFS(MOVIMIENTOS!$E$4:$E$20000,MOVIMIENTOS!$B$4:$B$20000,$A50,MOVIMIENTOS!$I$4:$I$20000,"Comida",MOVIMIENTOS!$H$4:$H$20000,"Gasto")+SUMIFS(FLEXIBLE!$B$4:$B$200,FLEXIBLE!$F$4:$F$200,$A50))</f>
        <v>299.25</v>
      </c>
      <c r="K50" s="35" t="n">
        <f aca="false">IF($A50="","",-SUMIFS(MOVIMIENTOS!$E$4:$E$20000,MOVIMIENTOS!$B$4:$B$20000,$A50,MOVIMIENTOS!$I$4:$I$20000,"Transporte",MOVIMIENTOS!$H$4:$H$20000,"Gasto")+SUMIFS(FLEXIBLE!$C$4:$C$200,FLEXIBLE!$F$4:$F$200,$A50))</f>
        <v>60.23</v>
      </c>
      <c r="L50" s="35" t="n">
        <f aca="false">IF($A50="","",-SUMIFS(MOVIMIENTOS!$E$4:$E$20000,MOVIMIENTOS!$B$4:$B$20000,$A50,MOVIMIENTOS!$I$4:$I$20000,"Salud",MOVIMIENTOS!$H$4:$H$20000,"Gasto"))</f>
        <v>20.57</v>
      </c>
      <c r="M50" s="35" t="n">
        <f aca="false">IF($A50="","",-SUMIFS(MOVIMIENTOS!$E$4:$E$20000,MOVIMIENTOS!$B$4:$B$20000,$A50,MOVIMIENTOS!$I$4:$I$20000,"Seguros",MOVIMIENTOS!$H$4:$H$20000,"Gasto"))</f>
        <v>-0</v>
      </c>
      <c r="N50" s="35" t="n">
        <f aca="false">IF($A50="","",-SUMIFS(MOVIMIENTOS!$E$4:$E$20000,MOVIMIENTOS!$B$4:$B$20000,$A50,MOVIMIENTOS!$I$4:$I$20000,"Personal",MOVIMIENTOS!$H$4:$H$20000,"Gasto"))</f>
        <v>132.17</v>
      </c>
      <c r="O50" s="35" t="n">
        <f aca="false">IF($A50="","",-SUMIFS(MOVIMIENTOS!$E$4:$E$20000,MOVIMIENTOS!$B$4:$B$20000,$A50,MOVIMIENTOS!$I$4:$I$20000,"Ocio",MOVIMIENTOS!$H$4:$H$20000,"Gasto"))</f>
        <v>17.75</v>
      </c>
      <c r="P50" s="35" t="n">
        <f aca="false">IF($A50="","",-SUMIFS(MOVIMIENTOS!$E$4:$E$20000,MOVIMIENTOS!$B$4:$B$20000,$A50,MOVIMIENTOS!$I$4:$I$20000,"Viajes",MOVIMIENTOS!$H$4:$H$20000,"Gasto"))</f>
        <v>150</v>
      </c>
      <c r="Q50" s="35" t="n">
        <f aca="false">IF($A50="","",-SUMIFS(MOVIMIENTOS!$E$4:$E$20000,MOVIMIENTOS!$B$4:$B$20000,$A50,MOVIMIENTOS!$I$4:$I$20000,"Efectivo",MOVIMIENTOS!$H$4:$H$20000,"Gasto"))</f>
        <v>-0</v>
      </c>
      <c r="R50" s="35" t="n">
        <f aca="false">IF($A50="","",-SUMIFS(MOVIMIENTOS!$E$4:$E$20000,MOVIMIENTOS!$B$4:$B$20000,$A50,MOVIMIENTOS!$I$4:$I$20000,"Otros",MOVIMIENTOS!$H$4:$H$20000,"Gasto"))</f>
        <v>-0</v>
      </c>
    </row>
    <row r="51" customFormat="false" ht="15" hidden="false" customHeight="false" outlineLevel="0" collapsed="false">
      <c r="A51" s="95" t="n">
        <f aca="false">IF('MIS DATOS'!A13="","",'MIS DATOS'!A13)</f>
        <v>46143</v>
      </c>
      <c r="B51" s="91" t="n">
        <f aca="false">IF($A51="","",'MIS DATOS'!B13)</f>
        <v>6863.18</v>
      </c>
      <c r="C51" s="91" t="n">
        <f aca="false">IF($A51="","",'MIS DATOS'!C13)</f>
        <v>1287.25</v>
      </c>
      <c r="D51" s="91" t="n">
        <f aca="false">IF($A51="","",'MIS DATOS'!D13)</f>
        <v>54667.34</v>
      </c>
      <c r="E51" s="96" t="n">
        <f aca="false">IF($A51="","",'MIS DATOS'!G13)</f>
        <v>2184.15</v>
      </c>
      <c r="F51" s="96" t="n">
        <f aca="false">IF($A51="","",'MIS DATOS'!H13)</f>
        <v>1553.78</v>
      </c>
      <c r="G51" s="96" t="n">
        <f aca="false">IF($A51="","",'MIS DATOS'!I13)</f>
        <v>630.37</v>
      </c>
      <c r="H51" s="93" t="n">
        <f aca="false">IF($A51="","",'MIS DATOS'!N13)</f>
        <v>1</v>
      </c>
      <c r="I51" s="35" t="n">
        <f aca="false">IF($A51="","",-SUMIFS(MOVIMIENTOS!$E$4:$E$20000,MOVIMIENTOS!$B$4:$B$20000,$A51,MOVIMIENTOS!$I$4:$I$20000,"Casa",MOVIMIENTOS!$H$4:$H$20000,"Gasto"))</f>
        <v>937.5</v>
      </c>
      <c r="J51" s="35" t="n">
        <f aca="false">IF($A51="","",-SUMIFS(MOVIMIENTOS!$E$4:$E$20000,MOVIMIENTOS!$B$4:$B$20000,$A51,MOVIMIENTOS!$I$4:$I$20000,"Comida",MOVIMIENTOS!$H$4:$H$20000,"Gasto")+SUMIFS(FLEXIBLE!$B$4:$B$200,FLEXIBLE!$F$4:$F$200,$A51))</f>
        <v>293.48</v>
      </c>
      <c r="K51" s="35" t="n">
        <f aca="false">IF($A51="","",-SUMIFS(MOVIMIENTOS!$E$4:$E$20000,MOVIMIENTOS!$B$4:$B$20000,$A51,MOVIMIENTOS!$I$4:$I$20000,"Transporte",MOVIMIENTOS!$H$4:$H$20000,"Gasto")+SUMIFS(FLEXIBLE!$C$4:$C$200,FLEXIBLE!$F$4:$F$200,$A51))</f>
        <v>65.13</v>
      </c>
      <c r="L51" s="35" t="n">
        <f aca="false">IF($A51="","",-SUMIFS(MOVIMIENTOS!$E$4:$E$20000,MOVIMIENTOS!$B$4:$B$20000,$A51,MOVIMIENTOS!$I$4:$I$20000,"Salud",MOVIMIENTOS!$H$4:$H$20000,"Gasto"))</f>
        <v>20.46</v>
      </c>
      <c r="M51" s="35" t="n">
        <f aca="false">IF($A51="","",-SUMIFS(MOVIMIENTOS!$E$4:$E$20000,MOVIMIENTOS!$B$4:$B$20000,$A51,MOVIMIENTOS!$I$4:$I$20000,"Seguros",MOVIMIENTOS!$H$4:$H$20000,"Gasto"))</f>
        <v>-0</v>
      </c>
      <c r="N51" s="35" t="n">
        <f aca="false">IF($A51="","",-SUMIFS(MOVIMIENTOS!$E$4:$E$20000,MOVIMIENTOS!$B$4:$B$20000,$A51,MOVIMIENTOS!$I$4:$I$20000,"Personal",MOVIMIENTOS!$H$4:$H$20000,"Gasto"))</f>
        <v>70.42</v>
      </c>
      <c r="O51" s="35" t="n">
        <f aca="false">IF($A51="","",-SUMIFS(MOVIMIENTOS!$E$4:$E$20000,MOVIMIENTOS!$B$4:$B$20000,$A51,MOVIMIENTOS!$I$4:$I$20000,"Ocio",MOVIMIENTOS!$H$4:$H$20000,"Gasto"))</f>
        <v>16.79</v>
      </c>
      <c r="P51" s="35" t="n">
        <f aca="false">IF($A51="","",-SUMIFS(MOVIMIENTOS!$E$4:$E$20000,MOVIMIENTOS!$B$4:$B$20000,$A51,MOVIMIENTOS!$I$4:$I$20000,"Viajes",MOVIMIENTOS!$H$4:$H$20000,"Gasto"))</f>
        <v>150</v>
      </c>
      <c r="Q51" s="35" t="n">
        <f aca="false">IF($A51="","",-SUMIFS(MOVIMIENTOS!$E$4:$E$20000,MOVIMIENTOS!$B$4:$B$20000,$A51,MOVIMIENTOS!$I$4:$I$20000,"Efectivo",MOVIMIENTOS!$H$4:$H$20000,"Gasto"))</f>
        <v>-0</v>
      </c>
      <c r="R51" s="35" t="n">
        <f aca="false">IF($A51="","",-SUMIFS(MOVIMIENTOS!$E$4:$E$20000,MOVIMIENTOS!$B$4:$B$20000,$A51,MOVIMIENTOS!$I$4:$I$20000,"Otros",MOVIMIENTOS!$H$4:$H$20000,"Gasto"))</f>
        <v>-0</v>
      </c>
    </row>
    <row r="52" customFormat="false" ht="15" hidden="false" customHeight="false" outlineLevel="0" collapsed="false">
      <c r="A52" s="95" t="n">
        <f aca="false">IF('MIS DATOS'!A14="","",'MIS DATOS'!A14)</f>
        <v>46174</v>
      </c>
      <c r="B52" s="91" t="n">
        <f aca="false">IF($A52="","",'MIS DATOS'!B14)</f>
        <v>9281.91</v>
      </c>
      <c r="C52" s="91" t="n">
        <f aca="false">IF($A52="","",'MIS DATOS'!C14)</f>
        <v>1360.91</v>
      </c>
      <c r="D52" s="91" t="n">
        <f aca="false">IF($A52="","",'MIS DATOS'!D14)</f>
        <v>55001.69</v>
      </c>
      <c r="E52" s="96" t="n">
        <f aca="false">IF($A52="","",'MIS DATOS'!G14)</f>
        <v>4492.75</v>
      </c>
      <c r="F52" s="96" t="n">
        <f aca="false">IF($A52="","",'MIS DATOS'!H14)</f>
        <v>1703.73</v>
      </c>
      <c r="G52" s="96" t="n">
        <f aca="false">IF($A52="","",'MIS DATOS'!I14)</f>
        <v>2789.02</v>
      </c>
      <c r="H52" s="93" t="n">
        <f aca="false">IF($A52="","",'MIS DATOS'!N14)</f>
        <v>1</v>
      </c>
      <c r="I52" s="35" t="n">
        <f aca="false">IF($A52="","",-SUMIFS(MOVIMIENTOS!$E$4:$E$20000,MOVIMIENTOS!$B$4:$B$20000,$A52,MOVIMIENTOS!$I$4:$I$20000,"Casa",MOVIMIENTOS!$H$4:$H$20000,"Gasto"))</f>
        <v>976.33</v>
      </c>
      <c r="J52" s="35" t="n">
        <f aca="false">IF($A52="","",-SUMIFS(MOVIMIENTOS!$E$4:$E$20000,MOVIMIENTOS!$B$4:$B$20000,$A52,MOVIMIENTOS!$I$4:$I$20000,"Comida",MOVIMIENTOS!$H$4:$H$20000,"Gasto")+SUMIFS(FLEXIBLE!$B$4:$B$200,FLEXIBLE!$F$4:$F$200,$A52))</f>
        <v>397.01</v>
      </c>
      <c r="K52" s="35" t="n">
        <f aca="false">IF($A52="","",-SUMIFS(MOVIMIENTOS!$E$4:$E$20000,MOVIMIENTOS!$B$4:$B$20000,$A52,MOVIMIENTOS!$I$4:$I$20000,"Transporte",MOVIMIENTOS!$H$4:$H$20000,"Gasto")+SUMIFS(FLEXIBLE!$C$4:$C$200,FLEXIBLE!$F$4:$F$200,$A52))</f>
        <v>107.23</v>
      </c>
      <c r="L52" s="35" t="n">
        <f aca="false">IF($A52="","",-SUMIFS(MOVIMIENTOS!$E$4:$E$20000,MOVIMIENTOS!$B$4:$B$20000,$A52,MOVIMIENTOS!$I$4:$I$20000,"Salud",MOVIMIENTOS!$H$4:$H$20000,"Gasto"))</f>
        <v>16.47</v>
      </c>
      <c r="M52" s="35" t="n">
        <f aca="false">IF($A52="","",-SUMIFS(MOVIMIENTOS!$E$4:$E$20000,MOVIMIENTOS!$B$4:$B$20000,$A52,MOVIMIENTOS!$I$4:$I$20000,"Seguros",MOVIMIENTOS!$H$4:$H$20000,"Gasto"))</f>
        <v>-0</v>
      </c>
      <c r="N52" s="35" t="n">
        <f aca="false">IF($A52="","",-SUMIFS(MOVIMIENTOS!$E$4:$E$20000,MOVIMIENTOS!$B$4:$B$20000,$A52,MOVIMIENTOS!$I$4:$I$20000,"Personal",MOVIMIENTOS!$H$4:$H$20000,"Gasto"))</f>
        <v>41.74</v>
      </c>
      <c r="O52" s="35" t="n">
        <f aca="false">IF($A52="","",-SUMIFS(MOVIMIENTOS!$E$4:$E$20000,MOVIMIENTOS!$B$4:$B$20000,$A52,MOVIMIENTOS!$I$4:$I$20000,"Ocio",MOVIMIENTOS!$H$4:$H$20000,"Gasto"))</f>
        <v>14.95</v>
      </c>
      <c r="P52" s="35" t="n">
        <f aca="false">IF($A52="","",-SUMIFS(MOVIMIENTOS!$E$4:$E$20000,MOVIMIENTOS!$B$4:$B$20000,$A52,MOVIMIENTOS!$I$4:$I$20000,"Viajes",MOVIMIENTOS!$H$4:$H$20000,"Gasto"))</f>
        <v>150</v>
      </c>
      <c r="Q52" s="35" t="n">
        <f aca="false">IF($A52="","",-SUMIFS(MOVIMIENTOS!$E$4:$E$20000,MOVIMIENTOS!$B$4:$B$20000,$A52,MOVIMIENTOS!$I$4:$I$20000,"Efectivo",MOVIMIENTOS!$H$4:$H$20000,"Gasto"))</f>
        <v>-0</v>
      </c>
      <c r="R52" s="35" t="n">
        <f aca="false">IF($A52="","",-SUMIFS(MOVIMIENTOS!$E$4:$E$20000,MOVIMIENTOS!$B$4:$B$20000,$A52,MOVIMIENTOS!$I$4:$I$20000,"Otros",MOVIMIENTOS!$H$4:$H$20000,"Gasto"))</f>
        <v>-0</v>
      </c>
    </row>
    <row r="53" customFormat="false" ht="15" hidden="false" customHeight="false" outlineLevel="0" collapsed="false">
      <c r="A53" s="95" t="n">
        <f aca="false">IF('MIS DATOS'!A15="","",'MIS DATOS'!A15)</f>
        <v>46204</v>
      </c>
      <c r="B53" s="91" t="n">
        <f aca="false">IF($A53="","",'MIS DATOS'!B15)</f>
        <v>9973.79</v>
      </c>
      <c r="C53" s="91" t="n">
        <f aca="false">IF($A53="","",'MIS DATOS'!C15)</f>
        <v>1396.85</v>
      </c>
      <c r="D53" s="91" t="n">
        <f aca="false">IF($A53="","",'MIS DATOS'!D15)</f>
        <v>55336.25</v>
      </c>
      <c r="E53" s="96" t="n">
        <f aca="false">IF($A53="","",'MIS DATOS'!G15)</f>
        <v>2768.17</v>
      </c>
      <c r="F53" s="96" t="n">
        <f aca="false">IF($A53="","",'MIS DATOS'!H15)</f>
        <v>1750.81</v>
      </c>
      <c r="G53" s="96" t="n">
        <f aca="false">IF($A53="","",'MIS DATOS'!I15)</f>
        <v>1017.36</v>
      </c>
      <c r="H53" s="93" t="n">
        <f aca="false">IF($A53="","",'MIS DATOS'!N15)</f>
        <v>1</v>
      </c>
      <c r="I53" s="35" t="n">
        <f aca="false">IF($A53="","",-SUMIFS(MOVIMIENTOS!$E$4:$E$20000,MOVIMIENTOS!$B$4:$B$20000,$A53,MOVIMIENTOS!$I$4:$I$20000,"Casa",MOVIMIENTOS!$H$4:$H$20000,"Gasto"))</f>
        <v>932.54</v>
      </c>
      <c r="J53" s="35" t="n">
        <f aca="false">IF($A53="","",-SUMIFS(MOVIMIENTOS!$E$4:$E$20000,MOVIMIENTOS!$B$4:$B$20000,$A53,MOVIMIENTOS!$I$4:$I$20000,"Comida",MOVIMIENTOS!$H$4:$H$20000,"Gasto")+SUMIFS(FLEXIBLE!$B$4:$B$200,FLEXIBLE!$F$4:$F$200,$A53))</f>
        <v>430.95</v>
      </c>
      <c r="K53" s="35" t="n">
        <f aca="false">IF($A53="","",-SUMIFS(MOVIMIENTOS!$E$4:$E$20000,MOVIMIENTOS!$B$4:$B$20000,$A53,MOVIMIENTOS!$I$4:$I$20000,"Transporte",MOVIMIENTOS!$H$4:$H$20000,"Gasto")+SUMIFS(FLEXIBLE!$C$4:$C$200,FLEXIBLE!$F$4:$F$200,$A53))</f>
        <v>103</v>
      </c>
      <c r="L53" s="35" t="n">
        <f aca="false">IF($A53="","",-SUMIFS(MOVIMIENTOS!$E$4:$E$20000,MOVIMIENTOS!$B$4:$B$20000,$A53,MOVIMIENTOS!$I$4:$I$20000,"Salud",MOVIMIENTOS!$H$4:$H$20000,"Gasto"))</f>
        <v>23.93</v>
      </c>
      <c r="M53" s="35" t="n">
        <f aca="false">IF($A53="","",-SUMIFS(MOVIMIENTOS!$E$4:$E$20000,MOVIMIENTOS!$B$4:$B$20000,$A53,MOVIMIENTOS!$I$4:$I$20000,"Seguros",MOVIMIENTOS!$H$4:$H$20000,"Gasto"))</f>
        <v>-0</v>
      </c>
      <c r="N53" s="35" t="n">
        <f aca="false">IF($A53="","",-SUMIFS(MOVIMIENTOS!$E$4:$E$20000,MOVIMIENTOS!$B$4:$B$20000,$A53,MOVIMIENTOS!$I$4:$I$20000,"Personal",MOVIMIENTOS!$H$4:$H$20000,"Gasto"))</f>
        <v>96.6</v>
      </c>
      <c r="O53" s="35" t="n">
        <f aca="false">IF($A53="","",-SUMIFS(MOVIMIENTOS!$E$4:$E$20000,MOVIMIENTOS!$B$4:$B$20000,$A53,MOVIMIENTOS!$I$4:$I$20000,"Ocio",MOVIMIENTOS!$H$4:$H$20000,"Gasto"))</f>
        <v>13.79</v>
      </c>
      <c r="P53" s="35" t="n">
        <f aca="false">IF($A53="","",-SUMIFS(MOVIMIENTOS!$E$4:$E$20000,MOVIMIENTOS!$B$4:$B$20000,$A53,MOVIMIENTOS!$I$4:$I$20000,"Viajes",MOVIMIENTOS!$H$4:$H$20000,"Gasto"))</f>
        <v>150</v>
      </c>
      <c r="Q53" s="35" t="n">
        <f aca="false">IF($A53="","",-SUMIFS(MOVIMIENTOS!$E$4:$E$20000,MOVIMIENTOS!$B$4:$B$20000,$A53,MOVIMIENTOS!$I$4:$I$20000,"Efectivo",MOVIMIENTOS!$H$4:$H$20000,"Gasto"))</f>
        <v>-0</v>
      </c>
      <c r="R53" s="35" t="n">
        <f aca="false">IF($A53="","",-SUMIFS(MOVIMIENTOS!$E$4:$E$20000,MOVIMIENTOS!$B$4:$B$20000,$A53,MOVIMIENTOS!$I$4:$I$20000,"Otros",MOVIMIENTOS!$H$4:$H$20000,"Gasto"))</f>
        <v>-0</v>
      </c>
    </row>
    <row r="54" customFormat="false" ht="15" hidden="false" customHeight="false" outlineLevel="0" collapsed="false">
      <c r="A54" s="95" t="n">
        <f aca="false">IF('MIS DATOS'!A16="","",'MIS DATOS'!A16)</f>
        <v>46235</v>
      </c>
      <c r="B54" s="91" t="n">
        <f aca="false">IF($A54="","",'MIS DATOS'!B16)</f>
        <v>10211.08</v>
      </c>
      <c r="C54" s="91" t="n">
        <f aca="false">IF($A54="","",'MIS DATOS'!C16)</f>
        <v>1387.77</v>
      </c>
      <c r="D54" s="91" t="n">
        <f aca="false">IF($A54="","",'MIS DATOS'!D16)</f>
        <v>55671.02</v>
      </c>
      <c r="E54" s="96" t="n">
        <f aca="false">IF($A54="","",'MIS DATOS'!G16)</f>
        <v>2300.87</v>
      </c>
      <c r="F54" s="96" t="n">
        <f aca="false">IF($A54="","",'MIS DATOS'!H16)</f>
        <v>1666.68</v>
      </c>
      <c r="G54" s="96" t="n">
        <f aca="false">IF($A54="","",'MIS DATOS'!I16)</f>
        <v>634.19</v>
      </c>
      <c r="H54" s="93" t="n">
        <f aca="false">IF($A54="","",'MIS DATOS'!N16)</f>
        <v>1</v>
      </c>
      <c r="I54" s="35" t="n">
        <f aca="false">IF($A54="","",-SUMIFS(MOVIMIENTOS!$E$4:$E$20000,MOVIMIENTOS!$B$4:$B$20000,$A54,MOVIMIENTOS!$I$4:$I$20000,"Casa",MOVIMIENTOS!$H$4:$H$20000,"Gasto"))</f>
        <v>1004.77</v>
      </c>
      <c r="J54" s="35" t="n">
        <f aca="false">IF($A54="","",-SUMIFS(MOVIMIENTOS!$E$4:$E$20000,MOVIMIENTOS!$B$4:$B$20000,$A54,MOVIMIENTOS!$I$4:$I$20000,"Comida",MOVIMIENTOS!$H$4:$H$20000,"Gasto")+SUMIFS(FLEXIBLE!$B$4:$B$200,FLEXIBLE!$F$4:$F$200,$A54))</f>
        <v>363.47</v>
      </c>
      <c r="K54" s="35" t="n">
        <f aca="false">IF($A54="","",-SUMIFS(MOVIMIENTOS!$E$4:$E$20000,MOVIMIENTOS!$B$4:$B$20000,$A54,MOVIMIENTOS!$I$4:$I$20000,"Transporte",MOVIMIENTOS!$H$4:$H$20000,"Gasto")+SUMIFS(FLEXIBLE!$C$4:$C$200,FLEXIBLE!$F$4:$F$200,$A54))</f>
        <v>80.99</v>
      </c>
      <c r="L54" s="35" t="n">
        <f aca="false">IF($A54="","",-SUMIFS(MOVIMIENTOS!$E$4:$E$20000,MOVIMIENTOS!$B$4:$B$20000,$A54,MOVIMIENTOS!$I$4:$I$20000,"Salud",MOVIMIENTOS!$H$4:$H$20000,"Gasto"))</f>
        <v>11.89</v>
      </c>
      <c r="M54" s="35" t="n">
        <f aca="false">IF($A54="","",-SUMIFS(MOVIMIENTOS!$E$4:$E$20000,MOVIMIENTOS!$B$4:$B$20000,$A54,MOVIMIENTOS!$I$4:$I$20000,"Seguros",MOVIMIENTOS!$H$4:$H$20000,"Gasto"))</f>
        <v>-0</v>
      </c>
      <c r="N54" s="35" t="n">
        <f aca="false">IF($A54="","",-SUMIFS(MOVIMIENTOS!$E$4:$E$20000,MOVIMIENTOS!$B$4:$B$20000,$A54,MOVIMIENTOS!$I$4:$I$20000,"Personal",MOVIMIENTOS!$H$4:$H$20000,"Gasto"))</f>
        <v>46.08</v>
      </c>
      <c r="O54" s="35" t="n">
        <f aca="false">IF($A54="","",-SUMIFS(MOVIMIENTOS!$E$4:$E$20000,MOVIMIENTOS!$B$4:$B$20000,$A54,MOVIMIENTOS!$I$4:$I$20000,"Ocio",MOVIMIENTOS!$H$4:$H$20000,"Gasto"))</f>
        <v>9.48</v>
      </c>
      <c r="P54" s="35" t="n">
        <f aca="false">IF($A54="","",-SUMIFS(MOVIMIENTOS!$E$4:$E$20000,MOVIMIENTOS!$B$4:$B$20000,$A54,MOVIMIENTOS!$I$4:$I$20000,"Viajes",MOVIMIENTOS!$H$4:$H$20000,"Gasto"))</f>
        <v>150</v>
      </c>
      <c r="Q54" s="35" t="n">
        <f aca="false">IF($A54="","",-SUMIFS(MOVIMIENTOS!$E$4:$E$20000,MOVIMIENTOS!$B$4:$B$20000,$A54,MOVIMIENTOS!$I$4:$I$20000,"Efectivo",MOVIMIENTOS!$H$4:$H$20000,"Gasto"))</f>
        <v>-0</v>
      </c>
      <c r="R54" s="35" t="n">
        <f aca="false">IF($A54="","",-SUMIFS(MOVIMIENTOS!$E$4:$E$20000,MOVIMIENTOS!$B$4:$B$20000,$A54,MOVIMIENTOS!$I$4:$I$20000,"Otros",MOVIMIENTOS!$H$4:$H$20000,"Gasto"))</f>
        <v>-0</v>
      </c>
    </row>
    <row r="55" customFormat="false" ht="15" hidden="false" customHeight="false" outlineLevel="0" collapsed="false">
      <c r="A55" s="95" t="n">
        <f aca="false">IF('MIS DATOS'!A17="","",'MIS DATOS'!A17)</f>
        <v>46266</v>
      </c>
      <c r="B55" s="91" t="n">
        <f aca="false">IF($A55="","",'MIS DATOS'!B17)</f>
        <v>10501.16</v>
      </c>
      <c r="C55" s="91" t="n">
        <f aca="false">IF($A55="","",'MIS DATOS'!C17)</f>
        <v>1449.9</v>
      </c>
      <c r="D55" s="91" t="n">
        <f aca="false">IF($A55="","",'MIS DATOS'!D17)</f>
        <v>56006</v>
      </c>
      <c r="E55" s="96" t="n">
        <f aca="false">IF($A55="","",'MIS DATOS'!G17)</f>
        <v>2349.78</v>
      </c>
      <c r="F55" s="96" t="n">
        <f aca="false">IF($A55="","",'MIS DATOS'!H17)</f>
        <v>1679.46</v>
      </c>
      <c r="G55" s="96" t="n">
        <f aca="false">IF($A55="","",'MIS DATOS'!I17)</f>
        <v>670.32</v>
      </c>
      <c r="H55" s="93" t="n">
        <f aca="false">IF($A55="","",'MIS DATOS'!N17)</f>
        <v>1</v>
      </c>
      <c r="I55" s="35" t="n">
        <f aca="false">IF($A55="","",-SUMIFS(MOVIMIENTOS!$E$4:$E$20000,MOVIMIENTOS!$B$4:$B$20000,$A55,MOVIMIENTOS!$I$4:$I$20000,"Casa",MOVIMIENTOS!$H$4:$H$20000,"Gasto"))</f>
        <v>927.98</v>
      </c>
      <c r="J55" s="35" t="n">
        <f aca="false">IF($A55="","",-SUMIFS(MOVIMIENTOS!$E$4:$E$20000,MOVIMIENTOS!$B$4:$B$20000,$A55,MOVIMIENTOS!$I$4:$I$20000,"Comida",MOVIMIENTOS!$H$4:$H$20000,"Gasto")+SUMIFS(FLEXIBLE!$B$4:$B$200,FLEXIBLE!$F$4:$F$200,$A55))</f>
        <v>391.01</v>
      </c>
      <c r="K55" s="35" t="n">
        <f aca="false">IF($A55="","",-SUMIFS(MOVIMIENTOS!$E$4:$E$20000,MOVIMIENTOS!$B$4:$B$20000,$A55,MOVIMIENTOS!$I$4:$I$20000,"Transporte",MOVIMIENTOS!$H$4:$H$20000,"Gasto")+SUMIFS(FLEXIBLE!$C$4:$C$200,FLEXIBLE!$F$4:$F$200,$A55))</f>
        <v>96.84</v>
      </c>
      <c r="L55" s="35" t="n">
        <f aca="false">IF($A55="","",-SUMIFS(MOVIMIENTOS!$E$4:$E$20000,MOVIMIENTOS!$B$4:$B$20000,$A55,MOVIMIENTOS!$I$4:$I$20000,"Salud",MOVIMIENTOS!$H$4:$H$20000,"Gasto"))</f>
        <v>8.55</v>
      </c>
      <c r="M55" s="35" t="n">
        <f aca="false">IF($A55="","",-SUMIFS(MOVIMIENTOS!$E$4:$E$20000,MOVIMIENTOS!$B$4:$B$20000,$A55,MOVIMIENTOS!$I$4:$I$20000,"Seguros",MOVIMIENTOS!$H$4:$H$20000,"Gasto"))</f>
        <v>-0</v>
      </c>
      <c r="N55" s="35" t="n">
        <f aca="false">IF($A55="","",-SUMIFS(MOVIMIENTOS!$E$4:$E$20000,MOVIMIENTOS!$B$4:$B$20000,$A55,MOVIMIENTOS!$I$4:$I$20000,"Personal",MOVIMIENTOS!$H$4:$H$20000,"Gasto"))</f>
        <v>94.53</v>
      </c>
      <c r="O55" s="35" t="n">
        <f aca="false">IF($A55="","",-SUMIFS(MOVIMIENTOS!$E$4:$E$20000,MOVIMIENTOS!$B$4:$B$20000,$A55,MOVIMIENTOS!$I$4:$I$20000,"Ocio",MOVIMIENTOS!$H$4:$H$20000,"Gasto"))</f>
        <v>10.55</v>
      </c>
      <c r="P55" s="35" t="n">
        <f aca="false">IF($A55="","",-SUMIFS(MOVIMIENTOS!$E$4:$E$20000,MOVIMIENTOS!$B$4:$B$20000,$A55,MOVIMIENTOS!$I$4:$I$20000,"Viajes",MOVIMIENTOS!$H$4:$H$20000,"Gasto"))</f>
        <v>150</v>
      </c>
      <c r="Q55" s="35" t="n">
        <f aca="false">IF($A55="","",-SUMIFS(MOVIMIENTOS!$E$4:$E$20000,MOVIMIENTOS!$B$4:$B$20000,$A55,MOVIMIENTOS!$I$4:$I$20000,"Efectivo",MOVIMIENTOS!$H$4:$H$20000,"Gasto"))</f>
        <v>-0</v>
      </c>
      <c r="R55" s="35" t="n">
        <f aca="false">IF($A55="","",-SUMIFS(MOVIMIENTOS!$E$4:$E$20000,MOVIMIENTOS!$B$4:$B$20000,$A55,MOVIMIENTOS!$I$4:$I$20000,"Otros",MOVIMIENTOS!$H$4:$H$20000,"Gasto"))</f>
        <v>-0</v>
      </c>
    </row>
    <row r="56" customFormat="false" ht="15" hidden="false" customHeight="false" outlineLevel="0" collapsed="false">
      <c r="A56" s="95" t="str">
        <f aca="false">IF('MIS DATOS'!A18="","",'MIS DATOS'!A18)</f>
        <v/>
      </c>
      <c r="B56" s="35" t="str">
        <f aca="false">IF($A56="","",'MIS DATOS'!B18)</f>
        <v/>
      </c>
      <c r="C56" s="35" t="str">
        <f aca="false">IF($A56="","",'MIS DATOS'!C18)</f>
        <v/>
      </c>
      <c r="D56" s="35" t="str">
        <f aca="false">IF($A56="","",'MIS DATOS'!D18)</f>
        <v/>
      </c>
      <c r="E56" s="35" t="str">
        <f aca="false">IF($A56="","",'MIS DATOS'!G18)</f>
        <v/>
      </c>
      <c r="F56" s="35" t="str">
        <f aca="false">IF($A56="","",'MIS DATOS'!H18)</f>
        <v/>
      </c>
      <c r="G56" s="35" t="str">
        <f aca="false">IF($A56="","",'MIS DATOS'!I18)</f>
        <v/>
      </c>
      <c r="H56" s="35" t="str">
        <f aca="false">IF($A56="","",'MIS DATOS'!N18)</f>
        <v/>
      </c>
      <c r="I56" s="35" t="str">
        <f aca="false">IF($A56="","",-SUMIFS(MOVIMIENTOS!$E$4:$E$20000,MOVIMIENTOS!$B$4:$B$20000,$A56,MOVIMIENTOS!$I$4:$I$20000,"Casa",MOVIMIENTOS!$H$4:$H$20000,"Gasto"))</f>
        <v/>
      </c>
      <c r="J56" s="35" t="str">
        <f aca="false">IF($A56="","",-SUMIFS(MOVIMIENTOS!$E$4:$E$20000,MOVIMIENTOS!$B$4:$B$20000,$A56,MOVIMIENTOS!$I$4:$I$20000,"Comida",MOVIMIENTOS!$H$4:$H$20000,"Gasto")+SUMIFS(FLEXIBLE!$B$4:$B$200,FLEXIBLE!$F$4:$F$200,$A56))</f>
        <v/>
      </c>
      <c r="K56" s="35" t="str">
        <f aca="false">IF($A56="","",-SUMIFS(MOVIMIENTOS!$E$4:$E$20000,MOVIMIENTOS!$B$4:$B$20000,$A56,MOVIMIENTOS!$I$4:$I$20000,"Transporte",MOVIMIENTOS!$H$4:$H$20000,"Gasto")+SUMIFS(FLEXIBLE!$C$4:$C$200,FLEXIBLE!$F$4:$F$200,$A56))</f>
        <v/>
      </c>
      <c r="L56" s="35" t="str">
        <f aca="false">IF($A56="","",-SUMIFS(MOVIMIENTOS!$E$4:$E$20000,MOVIMIENTOS!$B$4:$B$20000,$A56,MOVIMIENTOS!$I$4:$I$20000,"Salud",MOVIMIENTOS!$H$4:$H$20000,"Gasto"))</f>
        <v/>
      </c>
      <c r="M56" s="35" t="str">
        <f aca="false">IF($A56="","",-SUMIFS(MOVIMIENTOS!$E$4:$E$20000,MOVIMIENTOS!$B$4:$B$20000,$A56,MOVIMIENTOS!$I$4:$I$20000,"Seguros",MOVIMIENTOS!$H$4:$H$20000,"Gasto"))</f>
        <v/>
      </c>
      <c r="N56" s="35" t="str">
        <f aca="false">IF($A56="","",-SUMIFS(MOVIMIENTOS!$E$4:$E$20000,MOVIMIENTOS!$B$4:$B$20000,$A56,MOVIMIENTOS!$I$4:$I$20000,"Personal",MOVIMIENTOS!$H$4:$H$20000,"Gasto"))</f>
        <v/>
      </c>
      <c r="O56" s="35" t="str">
        <f aca="false">IF($A56="","",-SUMIFS(MOVIMIENTOS!$E$4:$E$20000,MOVIMIENTOS!$B$4:$B$20000,$A56,MOVIMIENTOS!$I$4:$I$20000,"Ocio",MOVIMIENTOS!$H$4:$H$20000,"Gasto"))</f>
        <v/>
      </c>
      <c r="P56" s="35" t="str">
        <f aca="false">IF($A56="","",-SUMIFS(MOVIMIENTOS!$E$4:$E$20000,MOVIMIENTOS!$B$4:$B$20000,$A56,MOVIMIENTOS!$I$4:$I$20000,"Viajes",MOVIMIENTOS!$H$4:$H$20000,"Gasto"))</f>
        <v/>
      </c>
      <c r="Q56" s="35" t="str">
        <f aca="false">IF($A56="","",-SUMIFS(MOVIMIENTOS!$E$4:$E$20000,MOVIMIENTOS!$B$4:$B$20000,$A56,MOVIMIENTOS!$I$4:$I$20000,"Efectivo",MOVIMIENTOS!$H$4:$H$20000,"Gasto"))</f>
        <v/>
      </c>
      <c r="R56" s="35" t="str">
        <f aca="false">IF($A56="","",-SUMIFS(MOVIMIENTOS!$E$4:$E$20000,MOVIMIENTOS!$B$4:$B$20000,$A56,MOVIMIENTOS!$I$4:$I$20000,"Otros",MOVIMIENTOS!$H$4:$H$20000,"Gasto"))</f>
        <v/>
      </c>
    </row>
    <row r="57" customFormat="false" ht="15" hidden="false" customHeight="false" outlineLevel="0" collapsed="false">
      <c r="A57" s="95" t="str">
        <f aca="false">IF('MIS DATOS'!A19="","",'MIS DATOS'!A19)</f>
        <v/>
      </c>
      <c r="B57" s="35" t="str">
        <f aca="false">IF($A57="","",'MIS DATOS'!B19)</f>
        <v/>
      </c>
      <c r="C57" s="35" t="str">
        <f aca="false">IF($A57="","",'MIS DATOS'!C19)</f>
        <v/>
      </c>
      <c r="D57" s="35" t="str">
        <f aca="false">IF($A57="","",'MIS DATOS'!D19)</f>
        <v/>
      </c>
      <c r="E57" s="35" t="str">
        <f aca="false">IF($A57="","",'MIS DATOS'!G19)</f>
        <v/>
      </c>
      <c r="F57" s="35" t="str">
        <f aca="false">IF($A57="","",'MIS DATOS'!H19)</f>
        <v/>
      </c>
      <c r="G57" s="35" t="str">
        <f aca="false">IF($A57="","",'MIS DATOS'!I19)</f>
        <v/>
      </c>
      <c r="H57" s="35" t="str">
        <f aca="false">IF($A57="","",'MIS DATOS'!N19)</f>
        <v/>
      </c>
      <c r="I57" s="35" t="str">
        <f aca="false">IF($A57="","",-SUMIFS(MOVIMIENTOS!$E$4:$E$20000,MOVIMIENTOS!$B$4:$B$20000,$A57,MOVIMIENTOS!$I$4:$I$20000,"Casa",MOVIMIENTOS!$H$4:$H$20000,"Gasto"))</f>
        <v/>
      </c>
      <c r="J57" s="35" t="str">
        <f aca="false">IF($A57="","",-SUMIFS(MOVIMIENTOS!$E$4:$E$20000,MOVIMIENTOS!$B$4:$B$20000,$A57,MOVIMIENTOS!$I$4:$I$20000,"Comida",MOVIMIENTOS!$H$4:$H$20000,"Gasto")+SUMIFS(FLEXIBLE!$B$4:$B$200,FLEXIBLE!$F$4:$F$200,$A57))</f>
        <v/>
      </c>
      <c r="K57" s="35" t="str">
        <f aca="false">IF($A57="","",-SUMIFS(MOVIMIENTOS!$E$4:$E$20000,MOVIMIENTOS!$B$4:$B$20000,$A57,MOVIMIENTOS!$I$4:$I$20000,"Transporte",MOVIMIENTOS!$H$4:$H$20000,"Gasto")+SUMIFS(FLEXIBLE!$C$4:$C$200,FLEXIBLE!$F$4:$F$200,$A57))</f>
        <v/>
      </c>
      <c r="L57" s="35" t="str">
        <f aca="false">IF($A57="","",-SUMIFS(MOVIMIENTOS!$E$4:$E$20000,MOVIMIENTOS!$B$4:$B$20000,$A57,MOVIMIENTOS!$I$4:$I$20000,"Salud",MOVIMIENTOS!$H$4:$H$20000,"Gasto"))</f>
        <v/>
      </c>
      <c r="M57" s="35" t="str">
        <f aca="false">IF($A57="","",-SUMIFS(MOVIMIENTOS!$E$4:$E$20000,MOVIMIENTOS!$B$4:$B$20000,$A57,MOVIMIENTOS!$I$4:$I$20000,"Seguros",MOVIMIENTOS!$H$4:$H$20000,"Gasto"))</f>
        <v/>
      </c>
      <c r="N57" s="35" t="str">
        <f aca="false">IF($A57="","",-SUMIFS(MOVIMIENTOS!$E$4:$E$20000,MOVIMIENTOS!$B$4:$B$20000,$A57,MOVIMIENTOS!$I$4:$I$20000,"Personal",MOVIMIENTOS!$H$4:$H$20000,"Gasto"))</f>
        <v/>
      </c>
      <c r="O57" s="35" t="str">
        <f aca="false">IF($A57="","",-SUMIFS(MOVIMIENTOS!$E$4:$E$20000,MOVIMIENTOS!$B$4:$B$20000,$A57,MOVIMIENTOS!$I$4:$I$20000,"Ocio",MOVIMIENTOS!$H$4:$H$20000,"Gasto"))</f>
        <v/>
      </c>
      <c r="P57" s="35" t="str">
        <f aca="false">IF($A57="","",-SUMIFS(MOVIMIENTOS!$E$4:$E$20000,MOVIMIENTOS!$B$4:$B$20000,$A57,MOVIMIENTOS!$I$4:$I$20000,"Viajes",MOVIMIENTOS!$H$4:$H$20000,"Gasto"))</f>
        <v/>
      </c>
      <c r="Q57" s="35" t="str">
        <f aca="false">IF($A57="","",-SUMIFS(MOVIMIENTOS!$E$4:$E$20000,MOVIMIENTOS!$B$4:$B$20000,$A57,MOVIMIENTOS!$I$4:$I$20000,"Efectivo",MOVIMIENTOS!$H$4:$H$20000,"Gasto"))</f>
        <v/>
      </c>
      <c r="R57" s="35" t="str">
        <f aca="false">IF($A57="","",-SUMIFS(MOVIMIENTOS!$E$4:$E$20000,MOVIMIENTOS!$B$4:$B$20000,$A57,MOVIMIENTOS!$I$4:$I$20000,"Otros",MOVIMIENTOS!$H$4:$H$20000,"Gasto"))</f>
        <v/>
      </c>
    </row>
    <row r="58" customFormat="false" ht="15" hidden="false" customHeight="false" outlineLevel="0" collapsed="false">
      <c r="A58" s="95" t="str">
        <f aca="false">IF('MIS DATOS'!A20="","",'MIS DATOS'!A20)</f>
        <v/>
      </c>
      <c r="B58" s="35" t="str">
        <f aca="false">IF($A58="","",'MIS DATOS'!B20)</f>
        <v/>
      </c>
      <c r="C58" s="35" t="str">
        <f aca="false">IF($A58="","",'MIS DATOS'!C20)</f>
        <v/>
      </c>
      <c r="D58" s="35" t="str">
        <f aca="false">IF($A58="","",'MIS DATOS'!D20)</f>
        <v/>
      </c>
      <c r="E58" s="35" t="str">
        <f aca="false">IF($A58="","",'MIS DATOS'!G20)</f>
        <v/>
      </c>
      <c r="F58" s="35" t="str">
        <f aca="false">IF($A58="","",'MIS DATOS'!H20)</f>
        <v/>
      </c>
      <c r="G58" s="35" t="str">
        <f aca="false">IF($A58="","",'MIS DATOS'!I20)</f>
        <v/>
      </c>
      <c r="H58" s="35" t="str">
        <f aca="false">IF($A58="","",'MIS DATOS'!N20)</f>
        <v/>
      </c>
      <c r="I58" s="35" t="str">
        <f aca="false">IF($A58="","",-SUMIFS(MOVIMIENTOS!$E$4:$E$20000,MOVIMIENTOS!$B$4:$B$20000,$A58,MOVIMIENTOS!$I$4:$I$20000,"Casa",MOVIMIENTOS!$H$4:$H$20000,"Gasto"))</f>
        <v/>
      </c>
      <c r="J58" s="35" t="str">
        <f aca="false">IF($A58="","",-SUMIFS(MOVIMIENTOS!$E$4:$E$20000,MOVIMIENTOS!$B$4:$B$20000,$A58,MOVIMIENTOS!$I$4:$I$20000,"Comida",MOVIMIENTOS!$H$4:$H$20000,"Gasto")+SUMIFS(FLEXIBLE!$B$4:$B$200,FLEXIBLE!$F$4:$F$200,$A58))</f>
        <v/>
      </c>
      <c r="K58" s="35" t="str">
        <f aca="false">IF($A58="","",-SUMIFS(MOVIMIENTOS!$E$4:$E$20000,MOVIMIENTOS!$B$4:$B$20000,$A58,MOVIMIENTOS!$I$4:$I$20000,"Transporte",MOVIMIENTOS!$H$4:$H$20000,"Gasto")+SUMIFS(FLEXIBLE!$C$4:$C$200,FLEXIBLE!$F$4:$F$200,$A58))</f>
        <v/>
      </c>
      <c r="L58" s="35" t="str">
        <f aca="false">IF($A58="","",-SUMIFS(MOVIMIENTOS!$E$4:$E$20000,MOVIMIENTOS!$B$4:$B$20000,$A58,MOVIMIENTOS!$I$4:$I$20000,"Salud",MOVIMIENTOS!$H$4:$H$20000,"Gasto"))</f>
        <v/>
      </c>
      <c r="M58" s="35" t="str">
        <f aca="false">IF($A58="","",-SUMIFS(MOVIMIENTOS!$E$4:$E$20000,MOVIMIENTOS!$B$4:$B$20000,$A58,MOVIMIENTOS!$I$4:$I$20000,"Seguros",MOVIMIENTOS!$H$4:$H$20000,"Gasto"))</f>
        <v/>
      </c>
      <c r="N58" s="35" t="str">
        <f aca="false">IF($A58="","",-SUMIFS(MOVIMIENTOS!$E$4:$E$20000,MOVIMIENTOS!$B$4:$B$20000,$A58,MOVIMIENTOS!$I$4:$I$20000,"Personal",MOVIMIENTOS!$H$4:$H$20000,"Gasto"))</f>
        <v/>
      </c>
      <c r="O58" s="35" t="str">
        <f aca="false">IF($A58="","",-SUMIFS(MOVIMIENTOS!$E$4:$E$20000,MOVIMIENTOS!$B$4:$B$20000,$A58,MOVIMIENTOS!$I$4:$I$20000,"Ocio",MOVIMIENTOS!$H$4:$H$20000,"Gasto"))</f>
        <v/>
      </c>
      <c r="P58" s="35" t="str">
        <f aca="false">IF($A58="","",-SUMIFS(MOVIMIENTOS!$E$4:$E$20000,MOVIMIENTOS!$B$4:$B$20000,$A58,MOVIMIENTOS!$I$4:$I$20000,"Viajes",MOVIMIENTOS!$H$4:$H$20000,"Gasto"))</f>
        <v/>
      </c>
      <c r="Q58" s="35" t="str">
        <f aca="false">IF($A58="","",-SUMIFS(MOVIMIENTOS!$E$4:$E$20000,MOVIMIENTOS!$B$4:$B$20000,$A58,MOVIMIENTOS!$I$4:$I$20000,"Efectivo",MOVIMIENTOS!$H$4:$H$20000,"Gasto"))</f>
        <v/>
      </c>
      <c r="R58" s="35" t="str">
        <f aca="false">IF($A58="","",-SUMIFS(MOVIMIENTOS!$E$4:$E$20000,MOVIMIENTOS!$B$4:$B$20000,$A58,MOVIMIENTOS!$I$4:$I$20000,"Otros",MOVIMIENTOS!$H$4:$H$20000,"Gasto"))</f>
        <v/>
      </c>
    </row>
    <row r="59" customFormat="false" ht="15" hidden="false" customHeight="false" outlineLevel="0" collapsed="false">
      <c r="A59" s="95" t="str">
        <f aca="false">IF('MIS DATOS'!A21="","",'MIS DATOS'!A21)</f>
        <v/>
      </c>
      <c r="B59" s="35" t="str">
        <f aca="false">IF($A59="","",'MIS DATOS'!B21)</f>
        <v/>
      </c>
      <c r="C59" s="35" t="str">
        <f aca="false">IF($A59="","",'MIS DATOS'!C21)</f>
        <v/>
      </c>
      <c r="D59" s="35" t="str">
        <f aca="false">IF($A59="","",'MIS DATOS'!D21)</f>
        <v/>
      </c>
      <c r="E59" s="35" t="str">
        <f aca="false">IF($A59="","",'MIS DATOS'!G21)</f>
        <v/>
      </c>
      <c r="F59" s="35" t="str">
        <f aca="false">IF($A59="","",'MIS DATOS'!H21)</f>
        <v/>
      </c>
      <c r="G59" s="35" t="str">
        <f aca="false">IF($A59="","",'MIS DATOS'!I21)</f>
        <v/>
      </c>
      <c r="H59" s="35" t="str">
        <f aca="false">IF($A59="","",'MIS DATOS'!N21)</f>
        <v/>
      </c>
      <c r="I59" s="35" t="str">
        <f aca="false">IF($A59="","",-SUMIFS(MOVIMIENTOS!$E$4:$E$20000,MOVIMIENTOS!$B$4:$B$20000,$A59,MOVIMIENTOS!$I$4:$I$20000,"Casa",MOVIMIENTOS!$H$4:$H$20000,"Gasto"))</f>
        <v/>
      </c>
      <c r="J59" s="35" t="str">
        <f aca="false">IF($A59="","",-SUMIFS(MOVIMIENTOS!$E$4:$E$20000,MOVIMIENTOS!$B$4:$B$20000,$A59,MOVIMIENTOS!$I$4:$I$20000,"Comida",MOVIMIENTOS!$H$4:$H$20000,"Gasto")+SUMIFS(FLEXIBLE!$B$4:$B$200,FLEXIBLE!$F$4:$F$200,$A59))</f>
        <v/>
      </c>
      <c r="K59" s="35" t="str">
        <f aca="false">IF($A59="","",-SUMIFS(MOVIMIENTOS!$E$4:$E$20000,MOVIMIENTOS!$B$4:$B$20000,$A59,MOVIMIENTOS!$I$4:$I$20000,"Transporte",MOVIMIENTOS!$H$4:$H$20000,"Gasto")+SUMIFS(FLEXIBLE!$C$4:$C$200,FLEXIBLE!$F$4:$F$200,$A59))</f>
        <v/>
      </c>
      <c r="L59" s="35" t="str">
        <f aca="false">IF($A59="","",-SUMIFS(MOVIMIENTOS!$E$4:$E$20000,MOVIMIENTOS!$B$4:$B$20000,$A59,MOVIMIENTOS!$I$4:$I$20000,"Salud",MOVIMIENTOS!$H$4:$H$20000,"Gasto"))</f>
        <v/>
      </c>
      <c r="M59" s="35" t="str">
        <f aca="false">IF($A59="","",-SUMIFS(MOVIMIENTOS!$E$4:$E$20000,MOVIMIENTOS!$B$4:$B$20000,$A59,MOVIMIENTOS!$I$4:$I$20000,"Seguros",MOVIMIENTOS!$H$4:$H$20000,"Gasto"))</f>
        <v/>
      </c>
      <c r="N59" s="35" t="str">
        <f aca="false">IF($A59="","",-SUMIFS(MOVIMIENTOS!$E$4:$E$20000,MOVIMIENTOS!$B$4:$B$20000,$A59,MOVIMIENTOS!$I$4:$I$20000,"Personal",MOVIMIENTOS!$H$4:$H$20000,"Gasto"))</f>
        <v/>
      </c>
      <c r="O59" s="35" t="str">
        <f aca="false">IF($A59="","",-SUMIFS(MOVIMIENTOS!$E$4:$E$20000,MOVIMIENTOS!$B$4:$B$20000,$A59,MOVIMIENTOS!$I$4:$I$20000,"Ocio",MOVIMIENTOS!$H$4:$H$20000,"Gasto"))</f>
        <v/>
      </c>
      <c r="P59" s="35" t="str">
        <f aca="false">IF($A59="","",-SUMIFS(MOVIMIENTOS!$E$4:$E$20000,MOVIMIENTOS!$B$4:$B$20000,$A59,MOVIMIENTOS!$I$4:$I$20000,"Viajes",MOVIMIENTOS!$H$4:$H$20000,"Gasto"))</f>
        <v/>
      </c>
      <c r="Q59" s="35" t="str">
        <f aca="false">IF($A59="","",-SUMIFS(MOVIMIENTOS!$E$4:$E$20000,MOVIMIENTOS!$B$4:$B$20000,$A59,MOVIMIENTOS!$I$4:$I$20000,"Efectivo",MOVIMIENTOS!$H$4:$H$20000,"Gasto"))</f>
        <v/>
      </c>
      <c r="R59" s="35" t="str">
        <f aca="false">IF($A59="","",-SUMIFS(MOVIMIENTOS!$E$4:$E$20000,MOVIMIENTOS!$B$4:$B$20000,$A59,MOVIMIENTOS!$I$4:$I$20000,"Otros",MOVIMIENTOS!$H$4:$H$20000,"Gasto"))</f>
        <v/>
      </c>
    </row>
    <row r="60" customFormat="false" ht="15" hidden="false" customHeight="false" outlineLevel="0" collapsed="false">
      <c r="A60" s="95" t="str">
        <f aca="false">IF('MIS DATOS'!A22="","",'MIS DATOS'!A22)</f>
        <v/>
      </c>
      <c r="B60" s="35" t="str">
        <f aca="false">IF($A60="","",'MIS DATOS'!B22)</f>
        <v/>
      </c>
      <c r="C60" s="35" t="str">
        <f aca="false">IF($A60="","",'MIS DATOS'!C22)</f>
        <v/>
      </c>
      <c r="D60" s="35" t="str">
        <f aca="false">IF($A60="","",'MIS DATOS'!D22)</f>
        <v/>
      </c>
      <c r="E60" s="35" t="str">
        <f aca="false">IF($A60="","",'MIS DATOS'!G22)</f>
        <v/>
      </c>
      <c r="F60" s="35" t="str">
        <f aca="false">IF($A60="","",'MIS DATOS'!H22)</f>
        <v/>
      </c>
      <c r="G60" s="35" t="str">
        <f aca="false">IF($A60="","",'MIS DATOS'!I22)</f>
        <v/>
      </c>
      <c r="H60" s="35" t="str">
        <f aca="false">IF($A60="","",'MIS DATOS'!N22)</f>
        <v/>
      </c>
      <c r="I60" s="35" t="str">
        <f aca="false">IF($A60="","",-SUMIFS(MOVIMIENTOS!$E$4:$E$20000,MOVIMIENTOS!$B$4:$B$20000,$A60,MOVIMIENTOS!$I$4:$I$20000,"Casa",MOVIMIENTOS!$H$4:$H$20000,"Gasto"))</f>
        <v/>
      </c>
      <c r="J60" s="35" t="str">
        <f aca="false">IF($A60="","",-SUMIFS(MOVIMIENTOS!$E$4:$E$20000,MOVIMIENTOS!$B$4:$B$20000,$A60,MOVIMIENTOS!$I$4:$I$20000,"Comida",MOVIMIENTOS!$H$4:$H$20000,"Gasto")+SUMIFS(FLEXIBLE!$B$4:$B$200,FLEXIBLE!$F$4:$F$200,$A60))</f>
        <v/>
      </c>
      <c r="K60" s="35" t="str">
        <f aca="false">IF($A60="","",-SUMIFS(MOVIMIENTOS!$E$4:$E$20000,MOVIMIENTOS!$B$4:$B$20000,$A60,MOVIMIENTOS!$I$4:$I$20000,"Transporte",MOVIMIENTOS!$H$4:$H$20000,"Gasto")+SUMIFS(FLEXIBLE!$C$4:$C$200,FLEXIBLE!$F$4:$F$200,$A60))</f>
        <v/>
      </c>
      <c r="L60" s="35" t="str">
        <f aca="false">IF($A60="","",-SUMIFS(MOVIMIENTOS!$E$4:$E$20000,MOVIMIENTOS!$B$4:$B$20000,$A60,MOVIMIENTOS!$I$4:$I$20000,"Salud",MOVIMIENTOS!$H$4:$H$20000,"Gasto"))</f>
        <v/>
      </c>
      <c r="M60" s="35" t="str">
        <f aca="false">IF($A60="","",-SUMIFS(MOVIMIENTOS!$E$4:$E$20000,MOVIMIENTOS!$B$4:$B$20000,$A60,MOVIMIENTOS!$I$4:$I$20000,"Seguros",MOVIMIENTOS!$H$4:$H$20000,"Gasto"))</f>
        <v/>
      </c>
      <c r="N60" s="35" t="str">
        <f aca="false">IF($A60="","",-SUMIFS(MOVIMIENTOS!$E$4:$E$20000,MOVIMIENTOS!$B$4:$B$20000,$A60,MOVIMIENTOS!$I$4:$I$20000,"Personal",MOVIMIENTOS!$H$4:$H$20000,"Gasto"))</f>
        <v/>
      </c>
      <c r="O60" s="35" t="str">
        <f aca="false">IF($A60="","",-SUMIFS(MOVIMIENTOS!$E$4:$E$20000,MOVIMIENTOS!$B$4:$B$20000,$A60,MOVIMIENTOS!$I$4:$I$20000,"Ocio",MOVIMIENTOS!$H$4:$H$20000,"Gasto"))</f>
        <v/>
      </c>
      <c r="P60" s="35" t="str">
        <f aca="false">IF($A60="","",-SUMIFS(MOVIMIENTOS!$E$4:$E$20000,MOVIMIENTOS!$B$4:$B$20000,$A60,MOVIMIENTOS!$I$4:$I$20000,"Viajes",MOVIMIENTOS!$H$4:$H$20000,"Gasto"))</f>
        <v/>
      </c>
      <c r="Q60" s="35" t="str">
        <f aca="false">IF($A60="","",-SUMIFS(MOVIMIENTOS!$E$4:$E$20000,MOVIMIENTOS!$B$4:$B$20000,$A60,MOVIMIENTOS!$I$4:$I$20000,"Efectivo",MOVIMIENTOS!$H$4:$H$20000,"Gasto"))</f>
        <v/>
      </c>
      <c r="R60" s="35" t="str">
        <f aca="false">IF($A60="","",-SUMIFS(MOVIMIENTOS!$E$4:$E$20000,MOVIMIENTOS!$B$4:$B$20000,$A60,MOVIMIENTOS!$I$4:$I$20000,"Otros",MOVIMIENTOS!$H$4:$H$20000,"Gasto"))</f>
        <v/>
      </c>
    </row>
    <row r="61" customFormat="false" ht="15" hidden="false" customHeight="false" outlineLevel="0" collapsed="false">
      <c r="A61" s="95" t="str">
        <f aca="false">IF('MIS DATOS'!A23="","",'MIS DATOS'!A23)</f>
        <v/>
      </c>
      <c r="B61" s="35" t="str">
        <f aca="false">IF($A61="","",'MIS DATOS'!B23)</f>
        <v/>
      </c>
      <c r="C61" s="35" t="str">
        <f aca="false">IF($A61="","",'MIS DATOS'!C23)</f>
        <v/>
      </c>
      <c r="D61" s="35" t="str">
        <f aca="false">IF($A61="","",'MIS DATOS'!D23)</f>
        <v/>
      </c>
      <c r="E61" s="35" t="str">
        <f aca="false">IF($A61="","",'MIS DATOS'!G23)</f>
        <v/>
      </c>
      <c r="F61" s="35" t="str">
        <f aca="false">IF($A61="","",'MIS DATOS'!H23)</f>
        <v/>
      </c>
      <c r="G61" s="35" t="str">
        <f aca="false">IF($A61="","",'MIS DATOS'!I23)</f>
        <v/>
      </c>
      <c r="H61" s="35" t="str">
        <f aca="false">IF($A61="","",'MIS DATOS'!N23)</f>
        <v/>
      </c>
      <c r="I61" s="35" t="str">
        <f aca="false">IF($A61="","",-SUMIFS(MOVIMIENTOS!$E$4:$E$20000,MOVIMIENTOS!$B$4:$B$20000,$A61,MOVIMIENTOS!$I$4:$I$20000,"Casa",MOVIMIENTOS!$H$4:$H$20000,"Gasto"))</f>
        <v/>
      </c>
      <c r="J61" s="35" t="str">
        <f aca="false">IF($A61="","",-SUMIFS(MOVIMIENTOS!$E$4:$E$20000,MOVIMIENTOS!$B$4:$B$20000,$A61,MOVIMIENTOS!$I$4:$I$20000,"Comida",MOVIMIENTOS!$H$4:$H$20000,"Gasto")+SUMIFS(FLEXIBLE!$B$4:$B$200,FLEXIBLE!$F$4:$F$200,$A61))</f>
        <v/>
      </c>
      <c r="K61" s="35" t="str">
        <f aca="false">IF($A61="","",-SUMIFS(MOVIMIENTOS!$E$4:$E$20000,MOVIMIENTOS!$B$4:$B$20000,$A61,MOVIMIENTOS!$I$4:$I$20000,"Transporte",MOVIMIENTOS!$H$4:$H$20000,"Gasto")+SUMIFS(FLEXIBLE!$C$4:$C$200,FLEXIBLE!$F$4:$F$200,$A61))</f>
        <v/>
      </c>
      <c r="L61" s="35" t="str">
        <f aca="false">IF($A61="","",-SUMIFS(MOVIMIENTOS!$E$4:$E$20000,MOVIMIENTOS!$B$4:$B$20000,$A61,MOVIMIENTOS!$I$4:$I$20000,"Salud",MOVIMIENTOS!$H$4:$H$20000,"Gasto"))</f>
        <v/>
      </c>
      <c r="M61" s="35" t="str">
        <f aca="false">IF($A61="","",-SUMIFS(MOVIMIENTOS!$E$4:$E$20000,MOVIMIENTOS!$B$4:$B$20000,$A61,MOVIMIENTOS!$I$4:$I$20000,"Seguros",MOVIMIENTOS!$H$4:$H$20000,"Gasto"))</f>
        <v/>
      </c>
      <c r="N61" s="35" t="str">
        <f aca="false">IF($A61="","",-SUMIFS(MOVIMIENTOS!$E$4:$E$20000,MOVIMIENTOS!$B$4:$B$20000,$A61,MOVIMIENTOS!$I$4:$I$20000,"Personal",MOVIMIENTOS!$H$4:$H$20000,"Gasto"))</f>
        <v/>
      </c>
      <c r="O61" s="35" t="str">
        <f aca="false">IF($A61="","",-SUMIFS(MOVIMIENTOS!$E$4:$E$20000,MOVIMIENTOS!$B$4:$B$20000,$A61,MOVIMIENTOS!$I$4:$I$20000,"Ocio",MOVIMIENTOS!$H$4:$H$20000,"Gasto"))</f>
        <v/>
      </c>
      <c r="P61" s="35" t="str">
        <f aca="false">IF($A61="","",-SUMIFS(MOVIMIENTOS!$E$4:$E$20000,MOVIMIENTOS!$B$4:$B$20000,$A61,MOVIMIENTOS!$I$4:$I$20000,"Viajes",MOVIMIENTOS!$H$4:$H$20000,"Gasto"))</f>
        <v/>
      </c>
      <c r="Q61" s="35" t="str">
        <f aca="false">IF($A61="","",-SUMIFS(MOVIMIENTOS!$E$4:$E$20000,MOVIMIENTOS!$B$4:$B$20000,$A61,MOVIMIENTOS!$I$4:$I$20000,"Efectivo",MOVIMIENTOS!$H$4:$H$20000,"Gasto"))</f>
        <v/>
      </c>
      <c r="R61" s="35" t="str">
        <f aca="false">IF($A61="","",-SUMIFS(MOVIMIENTOS!$E$4:$E$20000,MOVIMIENTOS!$B$4:$B$20000,$A61,MOVIMIENTOS!$I$4:$I$20000,"Otros",MOVIMIENTOS!$H$4:$H$20000,"Gasto"))</f>
        <v/>
      </c>
    </row>
    <row r="62" customFormat="false" ht="15" hidden="false" customHeight="false" outlineLevel="0" collapsed="false">
      <c r="A62" s="95" t="str">
        <f aca="false">IF('MIS DATOS'!A24="","",'MIS DATOS'!A24)</f>
        <v/>
      </c>
      <c r="B62" s="35" t="str">
        <f aca="false">IF($A62="","",'MIS DATOS'!B24)</f>
        <v/>
      </c>
      <c r="C62" s="35" t="str">
        <f aca="false">IF($A62="","",'MIS DATOS'!C24)</f>
        <v/>
      </c>
      <c r="D62" s="35" t="str">
        <f aca="false">IF($A62="","",'MIS DATOS'!D24)</f>
        <v/>
      </c>
      <c r="E62" s="35" t="str">
        <f aca="false">IF($A62="","",'MIS DATOS'!G24)</f>
        <v/>
      </c>
      <c r="F62" s="35" t="str">
        <f aca="false">IF($A62="","",'MIS DATOS'!H24)</f>
        <v/>
      </c>
      <c r="G62" s="35" t="str">
        <f aca="false">IF($A62="","",'MIS DATOS'!I24)</f>
        <v/>
      </c>
      <c r="H62" s="35" t="str">
        <f aca="false">IF($A62="","",'MIS DATOS'!N24)</f>
        <v/>
      </c>
      <c r="I62" s="35" t="str">
        <f aca="false">IF($A62="","",-SUMIFS(MOVIMIENTOS!$E$4:$E$20000,MOVIMIENTOS!$B$4:$B$20000,$A62,MOVIMIENTOS!$I$4:$I$20000,"Casa",MOVIMIENTOS!$H$4:$H$20000,"Gasto"))</f>
        <v/>
      </c>
      <c r="J62" s="35" t="str">
        <f aca="false">IF($A62="","",-SUMIFS(MOVIMIENTOS!$E$4:$E$20000,MOVIMIENTOS!$B$4:$B$20000,$A62,MOVIMIENTOS!$I$4:$I$20000,"Comida",MOVIMIENTOS!$H$4:$H$20000,"Gasto")+SUMIFS(FLEXIBLE!$B$4:$B$200,FLEXIBLE!$F$4:$F$200,$A62))</f>
        <v/>
      </c>
      <c r="K62" s="35" t="str">
        <f aca="false">IF($A62="","",-SUMIFS(MOVIMIENTOS!$E$4:$E$20000,MOVIMIENTOS!$B$4:$B$20000,$A62,MOVIMIENTOS!$I$4:$I$20000,"Transporte",MOVIMIENTOS!$H$4:$H$20000,"Gasto")+SUMIFS(FLEXIBLE!$C$4:$C$200,FLEXIBLE!$F$4:$F$200,$A62))</f>
        <v/>
      </c>
      <c r="L62" s="35" t="str">
        <f aca="false">IF($A62="","",-SUMIFS(MOVIMIENTOS!$E$4:$E$20000,MOVIMIENTOS!$B$4:$B$20000,$A62,MOVIMIENTOS!$I$4:$I$20000,"Salud",MOVIMIENTOS!$H$4:$H$20000,"Gasto"))</f>
        <v/>
      </c>
      <c r="M62" s="35" t="str">
        <f aca="false">IF($A62="","",-SUMIFS(MOVIMIENTOS!$E$4:$E$20000,MOVIMIENTOS!$B$4:$B$20000,$A62,MOVIMIENTOS!$I$4:$I$20000,"Seguros",MOVIMIENTOS!$H$4:$H$20000,"Gasto"))</f>
        <v/>
      </c>
      <c r="N62" s="35" t="str">
        <f aca="false">IF($A62="","",-SUMIFS(MOVIMIENTOS!$E$4:$E$20000,MOVIMIENTOS!$B$4:$B$20000,$A62,MOVIMIENTOS!$I$4:$I$20000,"Personal",MOVIMIENTOS!$H$4:$H$20000,"Gasto"))</f>
        <v/>
      </c>
      <c r="O62" s="35" t="str">
        <f aca="false">IF($A62="","",-SUMIFS(MOVIMIENTOS!$E$4:$E$20000,MOVIMIENTOS!$B$4:$B$20000,$A62,MOVIMIENTOS!$I$4:$I$20000,"Ocio",MOVIMIENTOS!$H$4:$H$20000,"Gasto"))</f>
        <v/>
      </c>
      <c r="P62" s="35" t="str">
        <f aca="false">IF($A62="","",-SUMIFS(MOVIMIENTOS!$E$4:$E$20000,MOVIMIENTOS!$B$4:$B$20000,$A62,MOVIMIENTOS!$I$4:$I$20000,"Viajes",MOVIMIENTOS!$H$4:$H$20000,"Gasto"))</f>
        <v/>
      </c>
      <c r="Q62" s="35" t="str">
        <f aca="false">IF($A62="","",-SUMIFS(MOVIMIENTOS!$E$4:$E$20000,MOVIMIENTOS!$B$4:$B$20000,$A62,MOVIMIENTOS!$I$4:$I$20000,"Efectivo",MOVIMIENTOS!$H$4:$H$20000,"Gasto"))</f>
        <v/>
      </c>
      <c r="R62" s="35" t="str">
        <f aca="false">IF($A62="","",-SUMIFS(MOVIMIENTOS!$E$4:$E$20000,MOVIMIENTOS!$B$4:$B$20000,$A62,MOVIMIENTOS!$I$4:$I$20000,"Otros",MOVIMIENTOS!$H$4:$H$20000,"Gasto"))</f>
        <v/>
      </c>
    </row>
    <row r="63" customFormat="false" ht="15" hidden="false" customHeight="false" outlineLevel="0" collapsed="false">
      <c r="A63" s="95" t="str">
        <f aca="false">IF('MIS DATOS'!A25="","",'MIS DATOS'!A25)</f>
        <v/>
      </c>
      <c r="B63" s="35" t="str">
        <f aca="false">IF($A63="","",'MIS DATOS'!B25)</f>
        <v/>
      </c>
      <c r="C63" s="35" t="str">
        <f aca="false">IF($A63="","",'MIS DATOS'!C25)</f>
        <v/>
      </c>
      <c r="D63" s="35" t="str">
        <f aca="false">IF($A63="","",'MIS DATOS'!D25)</f>
        <v/>
      </c>
      <c r="E63" s="35" t="str">
        <f aca="false">IF($A63="","",'MIS DATOS'!G25)</f>
        <v/>
      </c>
      <c r="F63" s="35" t="str">
        <f aca="false">IF($A63="","",'MIS DATOS'!H25)</f>
        <v/>
      </c>
      <c r="G63" s="35" t="str">
        <f aca="false">IF($A63="","",'MIS DATOS'!I25)</f>
        <v/>
      </c>
      <c r="H63" s="35" t="str">
        <f aca="false">IF($A63="","",'MIS DATOS'!N25)</f>
        <v/>
      </c>
      <c r="I63" s="35" t="str">
        <f aca="false">IF($A63="","",-SUMIFS(MOVIMIENTOS!$E$4:$E$20000,MOVIMIENTOS!$B$4:$B$20000,$A63,MOVIMIENTOS!$I$4:$I$20000,"Casa",MOVIMIENTOS!$H$4:$H$20000,"Gasto"))</f>
        <v/>
      </c>
      <c r="J63" s="35" t="str">
        <f aca="false">IF($A63="","",-SUMIFS(MOVIMIENTOS!$E$4:$E$20000,MOVIMIENTOS!$B$4:$B$20000,$A63,MOVIMIENTOS!$I$4:$I$20000,"Comida",MOVIMIENTOS!$H$4:$H$20000,"Gasto")+SUMIFS(FLEXIBLE!$B$4:$B$200,FLEXIBLE!$F$4:$F$200,$A63))</f>
        <v/>
      </c>
      <c r="K63" s="35" t="str">
        <f aca="false">IF($A63="","",-SUMIFS(MOVIMIENTOS!$E$4:$E$20000,MOVIMIENTOS!$B$4:$B$20000,$A63,MOVIMIENTOS!$I$4:$I$20000,"Transporte",MOVIMIENTOS!$H$4:$H$20000,"Gasto")+SUMIFS(FLEXIBLE!$C$4:$C$200,FLEXIBLE!$F$4:$F$200,$A63))</f>
        <v/>
      </c>
      <c r="L63" s="35" t="str">
        <f aca="false">IF($A63="","",-SUMIFS(MOVIMIENTOS!$E$4:$E$20000,MOVIMIENTOS!$B$4:$B$20000,$A63,MOVIMIENTOS!$I$4:$I$20000,"Salud",MOVIMIENTOS!$H$4:$H$20000,"Gasto"))</f>
        <v/>
      </c>
      <c r="M63" s="35" t="str">
        <f aca="false">IF($A63="","",-SUMIFS(MOVIMIENTOS!$E$4:$E$20000,MOVIMIENTOS!$B$4:$B$20000,$A63,MOVIMIENTOS!$I$4:$I$20000,"Seguros",MOVIMIENTOS!$H$4:$H$20000,"Gasto"))</f>
        <v/>
      </c>
      <c r="N63" s="35" t="str">
        <f aca="false">IF($A63="","",-SUMIFS(MOVIMIENTOS!$E$4:$E$20000,MOVIMIENTOS!$B$4:$B$20000,$A63,MOVIMIENTOS!$I$4:$I$20000,"Personal",MOVIMIENTOS!$H$4:$H$20000,"Gasto"))</f>
        <v/>
      </c>
      <c r="O63" s="35" t="str">
        <f aca="false">IF($A63="","",-SUMIFS(MOVIMIENTOS!$E$4:$E$20000,MOVIMIENTOS!$B$4:$B$20000,$A63,MOVIMIENTOS!$I$4:$I$20000,"Ocio",MOVIMIENTOS!$H$4:$H$20000,"Gasto"))</f>
        <v/>
      </c>
      <c r="P63" s="35" t="str">
        <f aca="false">IF($A63="","",-SUMIFS(MOVIMIENTOS!$E$4:$E$20000,MOVIMIENTOS!$B$4:$B$20000,$A63,MOVIMIENTOS!$I$4:$I$20000,"Viajes",MOVIMIENTOS!$H$4:$H$20000,"Gasto"))</f>
        <v/>
      </c>
      <c r="Q63" s="35" t="str">
        <f aca="false">IF($A63="","",-SUMIFS(MOVIMIENTOS!$E$4:$E$20000,MOVIMIENTOS!$B$4:$B$20000,$A63,MOVIMIENTOS!$I$4:$I$20000,"Efectivo",MOVIMIENTOS!$H$4:$H$20000,"Gasto"))</f>
        <v/>
      </c>
      <c r="R63" s="35" t="str">
        <f aca="false">IF($A63="","",-SUMIFS(MOVIMIENTOS!$E$4:$E$20000,MOVIMIENTOS!$B$4:$B$20000,$A63,MOVIMIENTOS!$I$4:$I$20000,"Otros",MOVIMIENTOS!$H$4:$H$20000,"Gasto"))</f>
        <v/>
      </c>
    </row>
    <row r="64" customFormat="false" ht="15" hidden="false" customHeight="false" outlineLevel="0" collapsed="false">
      <c r="A64" s="95" t="str">
        <f aca="false">IF('MIS DATOS'!A26="","",'MIS DATOS'!A26)</f>
        <v/>
      </c>
      <c r="B64" s="35" t="str">
        <f aca="false">IF($A64="","",'MIS DATOS'!B26)</f>
        <v/>
      </c>
      <c r="C64" s="35" t="str">
        <f aca="false">IF($A64="","",'MIS DATOS'!C26)</f>
        <v/>
      </c>
      <c r="D64" s="35" t="str">
        <f aca="false">IF($A64="","",'MIS DATOS'!D26)</f>
        <v/>
      </c>
      <c r="E64" s="35" t="str">
        <f aca="false">IF($A64="","",'MIS DATOS'!G26)</f>
        <v/>
      </c>
      <c r="F64" s="35" t="str">
        <f aca="false">IF($A64="","",'MIS DATOS'!H26)</f>
        <v/>
      </c>
      <c r="G64" s="35" t="str">
        <f aca="false">IF($A64="","",'MIS DATOS'!I26)</f>
        <v/>
      </c>
      <c r="H64" s="35" t="str">
        <f aca="false">IF($A64="","",'MIS DATOS'!N26)</f>
        <v/>
      </c>
      <c r="I64" s="35" t="str">
        <f aca="false">IF($A64="","",-SUMIFS(MOVIMIENTOS!$E$4:$E$20000,MOVIMIENTOS!$B$4:$B$20000,$A64,MOVIMIENTOS!$I$4:$I$20000,"Casa",MOVIMIENTOS!$H$4:$H$20000,"Gasto"))</f>
        <v/>
      </c>
      <c r="J64" s="35" t="str">
        <f aca="false">IF($A64="","",-SUMIFS(MOVIMIENTOS!$E$4:$E$20000,MOVIMIENTOS!$B$4:$B$20000,$A64,MOVIMIENTOS!$I$4:$I$20000,"Comida",MOVIMIENTOS!$H$4:$H$20000,"Gasto")+SUMIFS(FLEXIBLE!$B$4:$B$200,FLEXIBLE!$F$4:$F$200,$A64))</f>
        <v/>
      </c>
      <c r="K64" s="35" t="str">
        <f aca="false">IF($A64="","",-SUMIFS(MOVIMIENTOS!$E$4:$E$20000,MOVIMIENTOS!$B$4:$B$20000,$A64,MOVIMIENTOS!$I$4:$I$20000,"Transporte",MOVIMIENTOS!$H$4:$H$20000,"Gasto")+SUMIFS(FLEXIBLE!$C$4:$C$200,FLEXIBLE!$F$4:$F$200,$A64))</f>
        <v/>
      </c>
      <c r="L64" s="35" t="str">
        <f aca="false">IF($A64="","",-SUMIFS(MOVIMIENTOS!$E$4:$E$20000,MOVIMIENTOS!$B$4:$B$20000,$A64,MOVIMIENTOS!$I$4:$I$20000,"Salud",MOVIMIENTOS!$H$4:$H$20000,"Gasto"))</f>
        <v/>
      </c>
      <c r="M64" s="35" t="str">
        <f aca="false">IF($A64="","",-SUMIFS(MOVIMIENTOS!$E$4:$E$20000,MOVIMIENTOS!$B$4:$B$20000,$A64,MOVIMIENTOS!$I$4:$I$20000,"Seguros",MOVIMIENTOS!$H$4:$H$20000,"Gasto"))</f>
        <v/>
      </c>
      <c r="N64" s="35" t="str">
        <f aca="false">IF($A64="","",-SUMIFS(MOVIMIENTOS!$E$4:$E$20000,MOVIMIENTOS!$B$4:$B$20000,$A64,MOVIMIENTOS!$I$4:$I$20000,"Personal",MOVIMIENTOS!$H$4:$H$20000,"Gasto"))</f>
        <v/>
      </c>
      <c r="O64" s="35" t="str">
        <f aca="false">IF($A64="","",-SUMIFS(MOVIMIENTOS!$E$4:$E$20000,MOVIMIENTOS!$B$4:$B$20000,$A64,MOVIMIENTOS!$I$4:$I$20000,"Ocio",MOVIMIENTOS!$H$4:$H$20000,"Gasto"))</f>
        <v/>
      </c>
      <c r="P64" s="35" t="str">
        <f aca="false">IF($A64="","",-SUMIFS(MOVIMIENTOS!$E$4:$E$20000,MOVIMIENTOS!$B$4:$B$20000,$A64,MOVIMIENTOS!$I$4:$I$20000,"Viajes",MOVIMIENTOS!$H$4:$H$20000,"Gasto"))</f>
        <v/>
      </c>
      <c r="Q64" s="35" t="str">
        <f aca="false">IF($A64="","",-SUMIFS(MOVIMIENTOS!$E$4:$E$20000,MOVIMIENTOS!$B$4:$B$20000,$A64,MOVIMIENTOS!$I$4:$I$20000,"Efectivo",MOVIMIENTOS!$H$4:$H$20000,"Gasto"))</f>
        <v/>
      </c>
      <c r="R64" s="35" t="str">
        <f aca="false">IF($A64="","",-SUMIFS(MOVIMIENTOS!$E$4:$E$20000,MOVIMIENTOS!$B$4:$B$20000,$A64,MOVIMIENTOS!$I$4:$I$20000,"Otros",MOVIMIENTOS!$H$4:$H$20000,"Gasto"))</f>
        <v/>
      </c>
    </row>
    <row r="65" customFormat="false" ht="15" hidden="false" customHeight="false" outlineLevel="0" collapsed="false">
      <c r="A65" s="95" t="str">
        <f aca="false">IF('MIS DATOS'!A27="","",'MIS DATOS'!A27)</f>
        <v/>
      </c>
      <c r="B65" s="35" t="str">
        <f aca="false">IF($A65="","",'MIS DATOS'!B27)</f>
        <v/>
      </c>
      <c r="C65" s="35" t="str">
        <f aca="false">IF($A65="","",'MIS DATOS'!C27)</f>
        <v/>
      </c>
      <c r="D65" s="35" t="str">
        <f aca="false">IF($A65="","",'MIS DATOS'!D27)</f>
        <v/>
      </c>
      <c r="E65" s="35" t="str">
        <f aca="false">IF($A65="","",'MIS DATOS'!G27)</f>
        <v/>
      </c>
      <c r="F65" s="35" t="str">
        <f aca="false">IF($A65="","",'MIS DATOS'!H27)</f>
        <v/>
      </c>
      <c r="G65" s="35" t="str">
        <f aca="false">IF($A65="","",'MIS DATOS'!I27)</f>
        <v/>
      </c>
      <c r="H65" s="35" t="str">
        <f aca="false">IF($A65="","",'MIS DATOS'!N27)</f>
        <v/>
      </c>
      <c r="I65" s="35" t="str">
        <f aca="false">IF($A65="","",-SUMIFS(MOVIMIENTOS!$E$4:$E$20000,MOVIMIENTOS!$B$4:$B$20000,$A65,MOVIMIENTOS!$I$4:$I$20000,"Casa",MOVIMIENTOS!$H$4:$H$20000,"Gasto"))</f>
        <v/>
      </c>
      <c r="J65" s="35" t="str">
        <f aca="false">IF($A65="","",-SUMIFS(MOVIMIENTOS!$E$4:$E$20000,MOVIMIENTOS!$B$4:$B$20000,$A65,MOVIMIENTOS!$I$4:$I$20000,"Comida",MOVIMIENTOS!$H$4:$H$20000,"Gasto")+SUMIFS(FLEXIBLE!$B$4:$B$200,FLEXIBLE!$F$4:$F$200,$A65))</f>
        <v/>
      </c>
      <c r="K65" s="35" t="str">
        <f aca="false">IF($A65="","",-SUMIFS(MOVIMIENTOS!$E$4:$E$20000,MOVIMIENTOS!$B$4:$B$20000,$A65,MOVIMIENTOS!$I$4:$I$20000,"Transporte",MOVIMIENTOS!$H$4:$H$20000,"Gasto")+SUMIFS(FLEXIBLE!$C$4:$C$200,FLEXIBLE!$F$4:$F$200,$A65))</f>
        <v/>
      </c>
      <c r="L65" s="35" t="str">
        <f aca="false">IF($A65="","",-SUMIFS(MOVIMIENTOS!$E$4:$E$20000,MOVIMIENTOS!$B$4:$B$20000,$A65,MOVIMIENTOS!$I$4:$I$20000,"Salud",MOVIMIENTOS!$H$4:$H$20000,"Gasto"))</f>
        <v/>
      </c>
      <c r="M65" s="35" t="str">
        <f aca="false">IF($A65="","",-SUMIFS(MOVIMIENTOS!$E$4:$E$20000,MOVIMIENTOS!$B$4:$B$20000,$A65,MOVIMIENTOS!$I$4:$I$20000,"Seguros",MOVIMIENTOS!$H$4:$H$20000,"Gasto"))</f>
        <v/>
      </c>
      <c r="N65" s="35" t="str">
        <f aca="false">IF($A65="","",-SUMIFS(MOVIMIENTOS!$E$4:$E$20000,MOVIMIENTOS!$B$4:$B$20000,$A65,MOVIMIENTOS!$I$4:$I$20000,"Personal",MOVIMIENTOS!$H$4:$H$20000,"Gasto"))</f>
        <v/>
      </c>
      <c r="O65" s="35" t="str">
        <f aca="false">IF($A65="","",-SUMIFS(MOVIMIENTOS!$E$4:$E$20000,MOVIMIENTOS!$B$4:$B$20000,$A65,MOVIMIENTOS!$I$4:$I$20000,"Ocio",MOVIMIENTOS!$H$4:$H$20000,"Gasto"))</f>
        <v/>
      </c>
      <c r="P65" s="35" t="str">
        <f aca="false">IF($A65="","",-SUMIFS(MOVIMIENTOS!$E$4:$E$20000,MOVIMIENTOS!$B$4:$B$20000,$A65,MOVIMIENTOS!$I$4:$I$20000,"Viajes",MOVIMIENTOS!$H$4:$H$20000,"Gasto"))</f>
        <v/>
      </c>
      <c r="Q65" s="35" t="str">
        <f aca="false">IF($A65="","",-SUMIFS(MOVIMIENTOS!$E$4:$E$20000,MOVIMIENTOS!$B$4:$B$20000,$A65,MOVIMIENTOS!$I$4:$I$20000,"Efectivo",MOVIMIENTOS!$H$4:$H$20000,"Gasto"))</f>
        <v/>
      </c>
      <c r="R65" s="35" t="str">
        <f aca="false">IF($A65="","",-SUMIFS(MOVIMIENTOS!$E$4:$E$20000,MOVIMIENTOS!$B$4:$B$20000,$A65,MOVIMIENTOS!$I$4:$I$20000,"Otros",MOVIMIENTOS!$H$4:$H$20000,"Gasto"))</f>
        <v/>
      </c>
    </row>
    <row r="66" customFormat="false" ht="15" hidden="false" customHeight="false" outlineLevel="0" collapsed="false">
      <c r="A66" s="95" t="str">
        <f aca="false">IF('MIS DATOS'!A28="","",'MIS DATOS'!A28)</f>
        <v/>
      </c>
      <c r="B66" s="35" t="str">
        <f aca="false">IF($A66="","",'MIS DATOS'!B28)</f>
        <v/>
      </c>
      <c r="C66" s="35" t="str">
        <f aca="false">IF($A66="","",'MIS DATOS'!C28)</f>
        <v/>
      </c>
      <c r="D66" s="35" t="str">
        <f aca="false">IF($A66="","",'MIS DATOS'!D28)</f>
        <v/>
      </c>
      <c r="E66" s="35" t="str">
        <f aca="false">IF($A66="","",'MIS DATOS'!G28)</f>
        <v/>
      </c>
      <c r="F66" s="35" t="str">
        <f aca="false">IF($A66="","",'MIS DATOS'!H28)</f>
        <v/>
      </c>
      <c r="G66" s="35" t="str">
        <f aca="false">IF($A66="","",'MIS DATOS'!I28)</f>
        <v/>
      </c>
      <c r="H66" s="35" t="str">
        <f aca="false">IF($A66="","",'MIS DATOS'!N28)</f>
        <v/>
      </c>
      <c r="I66" s="35" t="str">
        <f aca="false">IF($A66="","",-SUMIFS(MOVIMIENTOS!$E$4:$E$20000,MOVIMIENTOS!$B$4:$B$20000,$A66,MOVIMIENTOS!$I$4:$I$20000,"Casa",MOVIMIENTOS!$H$4:$H$20000,"Gasto"))</f>
        <v/>
      </c>
      <c r="J66" s="35" t="str">
        <f aca="false">IF($A66="","",-SUMIFS(MOVIMIENTOS!$E$4:$E$20000,MOVIMIENTOS!$B$4:$B$20000,$A66,MOVIMIENTOS!$I$4:$I$20000,"Comida",MOVIMIENTOS!$H$4:$H$20000,"Gasto")+SUMIFS(FLEXIBLE!$B$4:$B$200,FLEXIBLE!$F$4:$F$200,$A66))</f>
        <v/>
      </c>
      <c r="K66" s="35" t="str">
        <f aca="false">IF($A66="","",-SUMIFS(MOVIMIENTOS!$E$4:$E$20000,MOVIMIENTOS!$B$4:$B$20000,$A66,MOVIMIENTOS!$I$4:$I$20000,"Transporte",MOVIMIENTOS!$H$4:$H$20000,"Gasto")+SUMIFS(FLEXIBLE!$C$4:$C$200,FLEXIBLE!$F$4:$F$200,$A66))</f>
        <v/>
      </c>
      <c r="L66" s="35" t="str">
        <f aca="false">IF($A66="","",-SUMIFS(MOVIMIENTOS!$E$4:$E$20000,MOVIMIENTOS!$B$4:$B$20000,$A66,MOVIMIENTOS!$I$4:$I$20000,"Salud",MOVIMIENTOS!$H$4:$H$20000,"Gasto"))</f>
        <v/>
      </c>
      <c r="M66" s="35" t="str">
        <f aca="false">IF($A66="","",-SUMIFS(MOVIMIENTOS!$E$4:$E$20000,MOVIMIENTOS!$B$4:$B$20000,$A66,MOVIMIENTOS!$I$4:$I$20000,"Seguros",MOVIMIENTOS!$H$4:$H$20000,"Gasto"))</f>
        <v/>
      </c>
      <c r="N66" s="35" t="str">
        <f aca="false">IF($A66="","",-SUMIFS(MOVIMIENTOS!$E$4:$E$20000,MOVIMIENTOS!$B$4:$B$20000,$A66,MOVIMIENTOS!$I$4:$I$20000,"Personal",MOVIMIENTOS!$H$4:$H$20000,"Gasto"))</f>
        <v/>
      </c>
      <c r="O66" s="35" t="str">
        <f aca="false">IF($A66="","",-SUMIFS(MOVIMIENTOS!$E$4:$E$20000,MOVIMIENTOS!$B$4:$B$20000,$A66,MOVIMIENTOS!$I$4:$I$20000,"Ocio",MOVIMIENTOS!$H$4:$H$20000,"Gasto"))</f>
        <v/>
      </c>
      <c r="P66" s="35" t="str">
        <f aca="false">IF($A66="","",-SUMIFS(MOVIMIENTOS!$E$4:$E$20000,MOVIMIENTOS!$B$4:$B$20000,$A66,MOVIMIENTOS!$I$4:$I$20000,"Viajes",MOVIMIENTOS!$H$4:$H$20000,"Gasto"))</f>
        <v/>
      </c>
      <c r="Q66" s="35" t="str">
        <f aca="false">IF($A66="","",-SUMIFS(MOVIMIENTOS!$E$4:$E$20000,MOVIMIENTOS!$B$4:$B$20000,$A66,MOVIMIENTOS!$I$4:$I$20000,"Efectivo",MOVIMIENTOS!$H$4:$H$20000,"Gasto"))</f>
        <v/>
      </c>
      <c r="R66" s="35" t="str">
        <f aca="false">IF($A66="","",-SUMIFS(MOVIMIENTOS!$E$4:$E$20000,MOVIMIENTOS!$B$4:$B$20000,$A66,MOVIMIENTOS!$I$4:$I$20000,"Otros",MOVIMIENTOS!$H$4:$H$20000,"Gasto"))</f>
        <v/>
      </c>
    </row>
    <row r="67" customFormat="false" ht="15" hidden="false" customHeight="false" outlineLevel="0" collapsed="false">
      <c r="A67" s="95" t="str">
        <f aca="false">IF('MIS DATOS'!A29="","",'MIS DATOS'!A29)</f>
        <v/>
      </c>
      <c r="B67" s="35" t="str">
        <f aca="false">IF($A67="","",'MIS DATOS'!B29)</f>
        <v/>
      </c>
      <c r="C67" s="35" t="str">
        <f aca="false">IF($A67="","",'MIS DATOS'!C29)</f>
        <v/>
      </c>
      <c r="D67" s="35" t="str">
        <f aca="false">IF($A67="","",'MIS DATOS'!D29)</f>
        <v/>
      </c>
      <c r="E67" s="35" t="str">
        <f aca="false">IF($A67="","",'MIS DATOS'!G29)</f>
        <v/>
      </c>
      <c r="F67" s="35" t="str">
        <f aca="false">IF($A67="","",'MIS DATOS'!H29)</f>
        <v/>
      </c>
      <c r="G67" s="35" t="str">
        <f aca="false">IF($A67="","",'MIS DATOS'!I29)</f>
        <v/>
      </c>
      <c r="H67" s="35" t="str">
        <f aca="false">IF($A67="","",'MIS DATOS'!N29)</f>
        <v/>
      </c>
      <c r="I67" s="35" t="str">
        <f aca="false">IF($A67="","",-SUMIFS(MOVIMIENTOS!$E$4:$E$20000,MOVIMIENTOS!$B$4:$B$20000,$A67,MOVIMIENTOS!$I$4:$I$20000,"Casa",MOVIMIENTOS!$H$4:$H$20000,"Gasto"))</f>
        <v/>
      </c>
      <c r="J67" s="35" t="str">
        <f aca="false">IF($A67="","",-SUMIFS(MOVIMIENTOS!$E$4:$E$20000,MOVIMIENTOS!$B$4:$B$20000,$A67,MOVIMIENTOS!$I$4:$I$20000,"Comida",MOVIMIENTOS!$H$4:$H$20000,"Gasto")+SUMIFS(FLEXIBLE!$B$4:$B$200,FLEXIBLE!$F$4:$F$200,$A67))</f>
        <v/>
      </c>
      <c r="K67" s="35" t="str">
        <f aca="false">IF($A67="","",-SUMIFS(MOVIMIENTOS!$E$4:$E$20000,MOVIMIENTOS!$B$4:$B$20000,$A67,MOVIMIENTOS!$I$4:$I$20000,"Transporte",MOVIMIENTOS!$H$4:$H$20000,"Gasto")+SUMIFS(FLEXIBLE!$C$4:$C$200,FLEXIBLE!$F$4:$F$200,$A67))</f>
        <v/>
      </c>
      <c r="L67" s="35" t="str">
        <f aca="false">IF($A67="","",-SUMIFS(MOVIMIENTOS!$E$4:$E$20000,MOVIMIENTOS!$B$4:$B$20000,$A67,MOVIMIENTOS!$I$4:$I$20000,"Salud",MOVIMIENTOS!$H$4:$H$20000,"Gasto"))</f>
        <v/>
      </c>
      <c r="M67" s="35" t="str">
        <f aca="false">IF($A67="","",-SUMIFS(MOVIMIENTOS!$E$4:$E$20000,MOVIMIENTOS!$B$4:$B$20000,$A67,MOVIMIENTOS!$I$4:$I$20000,"Seguros",MOVIMIENTOS!$H$4:$H$20000,"Gasto"))</f>
        <v/>
      </c>
      <c r="N67" s="35" t="str">
        <f aca="false">IF($A67="","",-SUMIFS(MOVIMIENTOS!$E$4:$E$20000,MOVIMIENTOS!$B$4:$B$20000,$A67,MOVIMIENTOS!$I$4:$I$20000,"Personal",MOVIMIENTOS!$H$4:$H$20000,"Gasto"))</f>
        <v/>
      </c>
      <c r="O67" s="35" t="str">
        <f aca="false">IF($A67="","",-SUMIFS(MOVIMIENTOS!$E$4:$E$20000,MOVIMIENTOS!$B$4:$B$20000,$A67,MOVIMIENTOS!$I$4:$I$20000,"Ocio",MOVIMIENTOS!$H$4:$H$20000,"Gasto"))</f>
        <v/>
      </c>
      <c r="P67" s="35" t="str">
        <f aca="false">IF($A67="","",-SUMIFS(MOVIMIENTOS!$E$4:$E$20000,MOVIMIENTOS!$B$4:$B$20000,$A67,MOVIMIENTOS!$I$4:$I$20000,"Viajes",MOVIMIENTOS!$H$4:$H$20000,"Gasto"))</f>
        <v/>
      </c>
      <c r="Q67" s="35" t="str">
        <f aca="false">IF($A67="","",-SUMIFS(MOVIMIENTOS!$E$4:$E$20000,MOVIMIENTOS!$B$4:$B$20000,$A67,MOVIMIENTOS!$I$4:$I$20000,"Efectivo",MOVIMIENTOS!$H$4:$H$20000,"Gasto"))</f>
        <v/>
      </c>
      <c r="R67" s="35" t="str">
        <f aca="false">IF($A67="","",-SUMIFS(MOVIMIENTOS!$E$4:$E$20000,MOVIMIENTOS!$B$4:$B$20000,$A67,MOVIMIENTOS!$I$4:$I$20000,"Otros",MOVIMIENTOS!$H$4:$H$20000,"Gasto"))</f>
        <v/>
      </c>
    </row>
    <row r="68" customFormat="false" ht="15" hidden="false" customHeight="false" outlineLevel="0" collapsed="false">
      <c r="A68" s="95" t="str">
        <f aca="false">IF('MIS DATOS'!A30="","",'MIS DATOS'!A30)</f>
        <v/>
      </c>
      <c r="B68" s="35" t="str">
        <f aca="false">IF($A68="","",'MIS DATOS'!B30)</f>
        <v/>
      </c>
      <c r="C68" s="35" t="str">
        <f aca="false">IF($A68="","",'MIS DATOS'!C30)</f>
        <v/>
      </c>
      <c r="D68" s="35" t="str">
        <f aca="false">IF($A68="","",'MIS DATOS'!D30)</f>
        <v/>
      </c>
      <c r="E68" s="35" t="str">
        <f aca="false">IF($A68="","",'MIS DATOS'!G30)</f>
        <v/>
      </c>
      <c r="F68" s="35" t="str">
        <f aca="false">IF($A68="","",'MIS DATOS'!H30)</f>
        <v/>
      </c>
      <c r="G68" s="35" t="str">
        <f aca="false">IF($A68="","",'MIS DATOS'!I30)</f>
        <v/>
      </c>
      <c r="H68" s="35" t="str">
        <f aca="false">IF($A68="","",'MIS DATOS'!N30)</f>
        <v/>
      </c>
      <c r="I68" s="35" t="str">
        <f aca="false">IF($A68="","",-SUMIFS(MOVIMIENTOS!$E$4:$E$20000,MOVIMIENTOS!$B$4:$B$20000,$A68,MOVIMIENTOS!$I$4:$I$20000,"Casa",MOVIMIENTOS!$H$4:$H$20000,"Gasto"))</f>
        <v/>
      </c>
      <c r="J68" s="35" t="str">
        <f aca="false">IF($A68="","",-SUMIFS(MOVIMIENTOS!$E$4:$E$20000,MOVIMIENTOS!$B$4:$B$20000,$A68,MOVIMIENTOS!$I$4:$I$20000,"Comida",MOVIMIENTOS!$H$4:$H$20000,"Gasto")+SUMIFS(FLEXIBLE!$B$4:$B$200,FLEXIBLE!$F$4:$F$200,$A68))</f>
        <v/>
      </c>
      <c r="K68" s="35" t="str">
        <f aca="false">IF($A68="","",-SUMIFS(MOVIMIENTOS!$E$4:$E$20000,MOVIMIENTOS!$B$4:$B$20000,$A68,MOVIMIENTOS!$I$4:$I$20000,"Transporte",MOVIMIENTOS!$H$4:$H$20000,"Gasto")+SUMIFS(FLEXIBLE!$C$4:$C$200,FLEXIBLE!$F$4:$F$200,$A68))</f>
        <v/>
      </c>
      <c r="L68" s="35" t="str">
        <f aca="false">IF($A68="","",-SUMIFS(MOVIMIENTOS!$E$4:$E$20000,MOVIMIENTOS!$B$4:$B$20000,$A68,MOVIMIENTOS!$I$4:$I$20000,"Salud",MOVIMIENTOS!$H$4:$H$20000,"Gasto"))</f>
        <v/>
      </c>
      <c r="M68" s="35" t="str">
        <f aca="false">IF($A68="","",-SUMIFS(MOVIMIENTOS!$E$4:$E$20000,MOVIMIENTOS!$B$4:$B$20000,$A68,MOVIMIENTOS!$I$4:$I$20000,"Seguros",MOVIMIENTOS!$H$4:$H$20000,"Gasto"))</f>
        <v/>
      </c>
      <c r="N68" s="35" t="str">
        <f aca="false">IF($A68="","",-SUMIFS(MOVIMIENTOS!$E$4:$E$20000,MOVIMIENTOS!$B$4:$B$20000,$A68,MOVIMIENTOS!$I$4:$I$20000,"Personal",MOVIMIENTOS!$H$4:$H$20000,"Gasto"))</f>
        <v/>
      </c>
      <c r="O68" s="35" t="str">
        <f aca="false">IF($A68="","",-SUMIFS(MOVIMIENTOS!$E$4:$E$20000,MOVIMIENTOS!$B$4:$B$20000,$A68,MOVIMIENTOS!$I$4:$I$20000,"Ocio",MOVIMIENTOS!$H$4:$H$20000,"Gasto"))</f>
        <v/>
      </c>
      <c r="P68" s="35" t="str">
        <f aca="false">IF($A68="","",-SUMIFS(MOVIMIENTOS!$E$4:$E$20000,MOVIMIENTOS!$B$4:$B$20000,$A68,MOVIMIENTOS!$I$4:$I$20000,"Viajes",MOVIMIENTOS!$H$4:$H$20000,"Gasto"))</f>
        <v/>
      </c>
      <c r="Q68" s="35" t="str">
        <f aca="false">IF($A68="","",-SUMIFS(MOVIMIENTOS!$E$4:$E$20000,MOVIMIENTOS!$B$4:$B$20000,$A68,MOVIMIENTOS!$I$4:$I$20000,"Efectivo",MOVIMIENTOS!$H$4:$H$20000,"Gasto"))</f>
        <v/>
      </c>
      <c r="R68" s="35" t="str">
        <f aca="false">IF($A68="","",-SUMIFS(MOVIMIENTOS!$E$4:$E$20000,MOVIMIENTOS!$B$4:$B$20000,$A68,MOVIMIENTOS!$I$4:$I$20000,"Otros",MOVIMIENTOS!$H$4:$H$20000,"Gasto"))</f>
        <v/>
      </c>
    </row>
    <row r="69" customFormat="false" ht="15" hidden="false" customHeight="false" outlineLevel="0" collapsed="false">
      <c r="A69" s="95" t="str">
        <f aca="false">IF('MIS DATOS'!A31="","",'MIS DATOS'!A31)</f>
        <v/>
      </c>
      <c r="B69" s="35" t="str">
        <f aca="false">IF($A69="","",'MIS DATOS'!B31)</f>
        <v/>
      </c>
      <c r="C69" s="35" t="str">
        <f aca="false">IF($A69="","",'MIS DATOS'!C31)</f>
        <v/>
      </c>
      <c r="D69" s="35" t="str">
        <f aca="false">IF($A69="","",'MIS DATOS'!D31)</f>
        <v/>
      </c>
      <c r="E69" s="35" t="str">
        <f aca="false">IF($A69="","",'MIS DATOS'!G31)</f>
        <v/>
      </c>
      <c r="F69" s="35" t="str">
        <f aca="false">IF($A69="","",'MIS DATOS'!H31)</f>
        <v/>
      </c>
      <c r="G69" s="35" t="str">
        <f aca="false">IF($A69="","",'MIS DATOS'!I31)</f>
        <v/>
      </c>
      <c r="H69" s="35" t="str">
        <f aca="false">IF($A69="","",'MIS DATOS'!N31)</f>
        <v/>
      </c>
      <c r="I69" s="35" t="str">
        <f aca="false">IF($A69="","",-SUMIFS(MOVIMIENTOS!$E$4:$E$20000,MOVIMIENTOS!$B$4:$B$20000,$A69,MOVIMIENTOS!$I$4:$I$20000,"Casa",MOVIMIENTOS!$H$4:$H$20000,"Gasto"))</f>
        <v/>
      </c>
      <c r="J69" s="35" t="str">
        <f aca="false">IF($A69="","",-SUMIFS(MOVIMIENTOS!$E$4:$E$20000,MOVIMIENTOS!$B$4:$B$20000,$A69,MOVIMIENTOS!$I$4:$I$20000,"Comida",MOVIMIENTOS!$H$4:$H$20000,"Gasto")+SUMIFS(FLEXIBLE!$B$4:$B$200,FLEXIBLE!$F$4:$F$200,$A69))</f>
        <v/>
      </c>
      <c r="K69" s="35" t="str">
        <f aca="false">IF($A69="","",-SUMIFS(MOVIMIENTOS!$E$4:$E$20000,MOVIMIENTOS!$B$4:$B$20000,$A69,MOVIMIENTOS!$I$4:$I$20000,"Transporte",MOVIMIENTOS!$H$4:$H$20000,"Gasto")+SUMIFS(FLEXIBLE!$C$4:$C$200,FLEXIBLE!$F$4:$F$200,$A69))</f>
        <v/>
      </c>
      <c r="L69" s="35" t="str">
        <f aca="false">IF($A69="","",-SUMIFS(MOVIMIENTOS!$E$4:$E$20000,MOVIMIENTOS!$B$4:$B$20000,$A69,MOVIMIENTOS!$I$4:$I$20000,"Salud",MOVIMIENTOS!$H$4:$H$20000,"Gasto"))</f>
        <v/>
      </c>
      <c r="M69" s="35" t="str">
        <f aca="false">IF($A69="","",-SUMIFS(MOVIMIENTOS!$E$4:$E$20000,MOVIMIENTOS!$B$4:$B$20000,$A69,MOVIMIENTOS!$I$4:$I$20000,"Seguros",MOVIMIENTOS!$H$4:$H$20000,"Gasto"))</f>
        <v/>
      </c>
      <c r="N69" s="35" t="str">
        <f aca="false">IF($A69="","",-SUMIFS(MOVIMIENTOS!$E$4:$E$20000,MOVIMIENTOS!$B$4:$B$20000,$A69,MOVIMIENTOS!$I$4:$I$20000,"Personal",MOVIMIENTOS!$H$4:$H$20000,"Gasto"))</f>
        <v/>
      </c>
      <c r="O69" s="35" t="str">
        <f aca="false">IF($A69="","",-SUMIFS(MOVIMIENTOS!$E$4:$E$20000,MOVIMIENTOS!$B$4:$B$20000,$A69,MOVIMIENTOS!$I$4:$I$20000,"Ocio",MOVIMIENTOS!$H$4:$H$20000,"Gasto"))</f>
        <v/>
      </c>
      <c r="P69" s="35" t="str">
        <f aca="false">IF($A69="","",-SUMIFS(MOVIMIENTOS!$E$4:$E$20000,MOVIMIENTOS!$B$4:$B$20000,$A69,MOVIMIENTOS!$I$4:$I$20000,"Viajes",MOVIMIENTOS!$H$4:$H$20000,"Gasto"))</f>
        <v/>
      </c>
      <c r="Q69" s="35" t="str">
        <f aca="false">IF($A69="","",-SUMIFS(MOVIMIENTOS!$E$4:$E$20000,MOVIMIENTOS!$B$4:$B$20000,$A69,MOVIMIENTOS!$I$4:$I$20000,"Efectivo",MOVIMIENTOS!$H$4:$H$20000,"Gasto"))</f>
        <v/>
      </c>
      <c r="R69" s="35" t="str">
        <f aca="false">IF($A69="","",-SUMIFS(MOVIMIENTOS!$E$4:$E$20000,MOVIMIENTOS!$B$4:$B$20000,$A69,MOVIMIENTOS!$I$4:$I$20000,"Otros",MOVIMIENTOS!$H$4:$H$20000,"Gasto"))</f>
        <v/>
      </c>
    </row>
    <row r="70" customFormat="false" ht="15" hidden="false" customHeight="false" outlineLevel="0" collapsed="false">
      <c r="A70" s="95" t="str">
        <f aca="false">IF('MIS DATOS'!A32="","",'MIS DATOS'!A32)</f>
        <v/>
      </c>
      <c r="B70" s="35" t="str">
        <f aca="false">IF($A70="","",'MIS DATOS'!B32)</f>
        <v/>
      </c>
      <c r="C70" s="35" t="str">
        <f aca="false">IF($A70="","",'MIS DATOS'!C32)</f>
        <v/>
      </c>
      <c r="D70" s="35" t="str">
        <f aca="false">IF($A70="","",'MIS DATOS'!D32)</f>
        <v/>
      </c>
      <c r="E70" s="35" t="str">
        <f aca="false">IF($A70="","",'MIS DATOS'!G32)</f>
        <v/>
      </c>
      <c r="F70" s="35" t="str">
        <f aca="false">IF($A70="","",'MIS DATOS'!H32)</f>
        <v/>
      </c>
      <c r="G70" s="35" t="str">
        <f aca="false">IF($A70="","",'MIS DATOS'!I32)</f>
        <v/>
      </c>
      <c r="H70" s="35" t="str">
        <f aca="false">IF($A70="","",'MIS DATOS'!N32)</f>
        <v/>
      </c>
      <c r="I70" s="35" t="str">
        <f aca="false">IF($A70="","",-SUMIFS(MOVIMIENTOS!$E$4:$E$20000,MOVIMIENTOS!$B$4:$B$20000,$A70,MOVIMIENTOS!$I$4:$I$20000,"Casa",MOVIMIENTOS!$H$4:$H$20000,"Gasto"))</f>
        <v/>
      </c>
      <c r="J70" s="35" t="str">
        <f aca="false">IF($A70="","",-SUMIFS(MOVIMIENTOS!$E$4:$E$20000,MOVIMIENTOS!$B$4:$B$20000,$A70,MOVIMIENTOS!$I$4:$I$20000,"Comida",MOVIMIENTOS!$H$4:$H$20000,"Gasto")+SUMIFS(FLEXIBLE!$B$4:$B$200,FLEXIBLE!$F$4:$F$200,$A70))</f>
        <v/>
      </c>
      <c r="K70" s="35" t="str">
        <f aca="false">IF($A70="","",-SUMIFS(MOVIMIENTOS!$E$4:$E$20000,MOVIMIENTOS!$B$4:$B$20000,$A70,MOVIMIENTOS!$I$4:$I$20000,"Transporte",MOVIMIENTOS!$H$4:$H$20000,"Gasto")+SUMIFS(FLEXIBLE!$C$4:$C$200,FLEXIBLE!$F$4:$F$200,$A70))</f>
        <v/>
      </c>
      <c r="L70" s="35" t="str">
        <f aca="false">IF($A70="","",-SUMIFS(MOVIMIENTOS!$E$4:$E$20000,MOVIMIENTOS!$B$4:$B$20000,$A70,MOVIMIENTOS!$I$4:$I$20000,"Salud",MOVIMIENTOS!$H$4:$H$20000,"Gasto"))</f>
        <v/>
      </c>
      <c r="M70" s="35" t="str">
        <f aca="false">IF($A70="","",-SUMIFS(MOVIMIENTOS!$E$4:$E$20000,MOVIMIENTOS!$B$4:$B$20000,$A70,MOVIMIENTOS!$I$4:$I$20000,"Seguros",MOVIMIENTOS!$H$4:$H$20000,"Gasto"))</f>
        <v/>
      </c>
      <c r="N70" s="35" t="str">
        <f aca="false">IF($A70="","",-SUMIFS(MOVIMIENTOS!$E$4:$E$20000,MOVIMIENTOS!$B$4:$B$20000,$A70,MOVIMIENTOS!$I$4:$I$20000,"Personal",MOVIMIENTOS!$H$4:$H$20000,"Gasto"))</f>
        <v/>
      </c>
      <c r="O70" s="35" t="str">
        <f aca="false">IF($A70="","",-SUMIFS(MOVIMIENTOS!$E$4:$E$20000,MOVIMIENTOS!$B$4:$B$20000,$A70,MOVIMIENTOS!$I$4:$I$20000,"Ocio",MOVIMIENTOS!$H$4:$H$20000,"Gasto"))</f>
        <v/>
      </c>
      <c r="P70" s="35" t="str">
        <f aca="false">IF($A70="","",-SUMIFS(MOVIMIENTOS!$E$4:$E$20000,MOVIMIENTOS!$B$4:$B$20000,$A70,MOVIMIENTOS!$I$4:$I$20000,"Viajes",MOVIMIENTOS!$H$4:$H$20000,"Gasto"))</f>
        <v/>
      </c>
      <c r="Q70" s="35" t="str">
        <f aca="false">IF($A70="","",-SUMIFS(MOVIMIENTOS!$E$4:$E$20000,MOVIMIENTOS!$B$4:$B$20000,$A70,MOVIMIENTOS!$I$4:$I$20000,"Efectivo",MOVIMIENTOS!$H$4:$H$20000,"Gasto"))</f>
        <v/>
      </c>
      <c r="R70" s="35" t="str">
        <f aca="false">IF($A70="","",-SUMIFS(MOVIMIENTOS!$E$4:$E$20000,MOVIMIENTOS!$B$4:$B$20000,$A70,MOVIMIENTOS!$I$4:$I$20000,"Otros",MOVIMIENTOS!$H$4:$H$20000,"Gasto"))</f>
        <v/>
      </c>
    </row>
    <row r="71" customFormat="false" ht="15" hidden="false" customHeight="false" outlineLevel="0" collapsed="false">
      <c r="A71" s="95" t="str">
        <f aca="false">IF('MIS DATOS'!A33="","",'MIS DATOS'!A33)</f>
        <v/>
      </c>
      <c r="B71" s="35" t="str">
        <f aca="false">IF($A71="","",'MIS DATOS'!B33)</f>
        <v/>
      </c>
      <c r="C71" s="35" t="str">
        <f aca="false">IF($A71="","",'MIS DATOS'!C33)</f>
        <v/>
      </c>
      <c r="D71" s="35" t="str">
        <f aca="false">IF($A71="","",'MIS DATOS'!D33)</f>
        <v/>
      </c>
      <c r="E71" s="35" t="str">
        <f aca="false">IF($A71="","",'MIS DATOS'!G33)</f>
        <v/>
      </c>
      <c r="F71" s="35" t="str">
        <f aca="false">IF($A71="","",'MIS DATOS'!H33)</f>
        <v/>
      </c>
      <c r="G71" s="35" t="str">
        <f aca="false">IF($A71="","",'MIS DATOS'!I33)</f>
        <v/>
      </c>
      <c r="H71" s="35" t="str">
        <f aca="false">IF($A71="","",'MIS DATOS'!N33)</f>
        <v/>
      </c>
      <c r="I71" s="35" t="str">
        <f aca="false">IF($A71="","",-SUMIFS(MOVIMIENTOS!$E$4:$E$20000,MOVIMIENTOS!$B$4:$B$20000,$A71,MOVIMIENTOS!$I$4:$I$20000,"Casa",MOVIMIENTOS!$H$4:$H$20000,"Gasto"))</f>
        <v/>
      </c>
      <c r="J71" s="35" t="str">
        <f aca="false">IF($A71="","",-SUMIFS(MOVIMIENTOS!$E$4:$E$20000,MOVIMIENTOS!$B$4:$B$20000,$A71,MOVIMIENTOS!$I$4:$I$20000,"Comida",MOVIMIENTOS!$H$4:$H$20000,"Gasto")+SUMIFS(FLEXIBLE!$B$4:$B$200,FLEXIBLE!$F$4:$F$200,$A71))</f>
        <v/>
      </c>
      <c r="K71" s="35" t="str">
        <f aca="false">IF($A71="","",-SUMIFS(MOVIMIENTOS!$E$4:$E$20000,MOVIMIENTOS!$B$4:$B$20000,$A71,MOVIMIENTOS!$I$4:$I$20000,"Transporte",MOVIMIENTOS!$H$4:$H$20000,"Gasto")+SUMIFS(FLEXIBLE!$C$4:$C$200,FLEXIBLE!$F$4:$F$200,$A71))</f>
        <v/>
      </c>
      <c r="L71" s="35" t="str">
        <f aca="false">IF($A71="","",-SUMIFS(MOVIMIENTOS!$E$4:$E$20000,MOVIMIENTOS!$B$4:$B$20000,$A71,MOVIMIENTOS!$I$4:$I$20000,"Salud",MOVIMIENTOS!$H$4:$H$20000,"Gasto"))</f>
        <v/>
      </c>
      <c r="M71" s="35" t="str">
        <f aca="false">IF($A71="","",-SUMIFS(MOVIMIENTOS!$E$4:$E$20000,MOVIMIENTOS!$B$4:$B$20000,$A71,MOVIMIENTOS!$I$4:$I$20000,"Seguros",MOVIMIENTOS!$H$4:$H$20000,"Gasto"))</f>
        <v/>
      </c>
      <c r="N71" s="35" t="str">
        <f aca="false">IF($A71="","",-SUMIFS(MOVIMIENTOS!$E$4:$E$20000,MOVIMIENTOS!$B$4:$B$20000,$A71,MOVIMIENTOS!$I$4:$I$20000,"Personal",MOVIMIENTOS!$H$4:$H$20000,"Gasto"))</f>
        <v/>
      </c>
      <c r="O71" s="35" t="str">
        <f aca="false">IF($A71="","",-SUMIFS(MOVIMIENTOS!$E$4:$E$20000,MOVIMIENTOS!$B$4:$B$20000,$A71,MOVIMIENTOS!$I$4:$I$20000,"Ocio",MOVIMIENTOS!$H$4:$H$20000,"Gasto"))</f>
        <v/>
      </c>
      <c r="P71" s="35" t="str">
        <f aca="false">IF($A71="","",-SUMIFS(MOVIMIENTOS!$E$4:$E$20000,MOVIMIENTOS!$B$4:$B$20000,$A71,MOVIMIENTOS!$I$4:$I$20000,"Viajes",MOVIMIENTOS!$H$4:$H$20000,"Gasto"))</f>
        <v/>
      </c>
      <c r="Q71" s="35" t="str">
        <f aca="false">IF($A71="","",-SUMIFS(MOVIMIENTOS!$E$4:$E$20000,MOVIMIENTOS!$B$4:$B$20000,$A71,MOVIMIENTOS!$I$4:$I$20000,"Efectivo",MOVIMIENTOS!$H$4:$H$20000,"Gasto"))</f>
        <v/>
      </c>
      <c r="R71" s="35" t="str">
        <f aca="false">IF($A71="","",-SUMIFS(MOVIMIENTOS!$E$4:$E$20000,MOVIMIENTOS!$B$4:$B$20000,$A71,MOVIMIENTOS!$I$4:$I$20000,"Otros",MOVIMIENTOS!$H$4:$H$20000,"Gasto"))</f>
        <v/>
      </c>
    </row>
    <row r="72" customFormat="false" ht="15" hidden="false" customHeight="false" outlineLevel="0" collapsed="false">
      <c r="A72" s="95" t="str">
        <f aca="false">IF('MIS DATOS'!A34="","",'MIS DATOS'!A34)</f>
        <v/>
      </c>
      <c r="B72" s="35" t="str">
        <f aca="false">IF($A72="","",'MIS DATOS'!B34)</f>
        <v/>
      </c>
      <c r="C72" s="35" t="str">
        <f aca="false">IF($A72="","",'MIS DATOS'!C34)</f>
        <v/>
      </c>
      <c r="D72" s="35" t="str">
        <f aca="false">IF($A72="","",'MIS DATOS'!D34)</f>
        <v/>
      </c>
      <c r="E72" s="35" t="str">
        <f aca="false">IF($A72="","",'MIS DATOS'!G34)</f>
        <v/>
      </c>
      <c r="F72" s="35" t="str">
        <f aca="false">IF($A72="","",'MIS DATOS'!H34)</f>
        <v/>
      </c>
      <c r="G72" s="35" t="str">
        <f aca="false">IF($A72="","",'MIS DATOS'!I34)</f>
        <v/>
      </c>
      <c r="H72" s="35" t="str">
        <f aca="false">IF($A72="","",'MIS DATOS'!N34)</f>
        <v/>
      </c>
      <c r="I72" s="35" t="str">
        <f aca="false">IF($A72="","",-SUMIFS(MOVIMIENTOS!$E$4:$E$20000,MOVIMIENTOS!$B$4:$B$20000,$A72,MOVIMIENTOS!$I$4:$I$20000,"Casa",MOVIMIENTOS!$H$4:$H$20000,"Gasto"))</f>
        <v/>
      </c>
      <c r="J72" s="35" t="str">
        <f aca="false">IF($A72="","",-SUMIFS(MOVIMIENTOS!$E$4:$E$20000,MOVIMIENTOS!$B$4:$B$20000,$A72,MOVIMIENTOS!$I$4:$I$20000,"Comida",MOVIMIENTOS!$H$4:$H$20000,"Gasto")+SUMIFS(FLEXIBLE!$B$4:$B$200,FLEXIBLE!$F$4:$F$200,$A72))</f>
        <v/>
      </c>
      <c r="K72" s="35" t="str">
        <f aca="false">IF($A72="","",-SUMIFS(MOVIMIENTOS!$E$4:$E$20000,MOVIMIENTOS!$B$4:$B$20000,$A72,MOVIMIENTOS!$I$4:$I$20000,"Transporte",MOVIMIENTOS!$H$4:$H$20000,"Gasto")+SUMIFS(FLEXIBLE!$C$4:$C$200,FLEXIBLE!$F$4:$F$200,$A72))</f>
        <v/>
      </c>
      <c r="L72" s="35" t="str">
        <f aca="false">IF($A72="","",-SUMIFS(MOVIMIENTOS!$E$4:$E$20000,MOVIMIENTOS!$B$4:$B$20000,$A72,MOVIMIENTOS!$I$4:$I$20000,"Salud",MOVIMIENTOS!$H$4:$H$20000,"Gasto"))</f>
        <v/>
      </c>
      <c r="M72" s="35" t="str">
        <f aca="false">IF($A72="","",-SUMIFS(MOVIMIENTOS!$E$4:$E$20000,MOVIMIENTOS!$B$4:$B$20000,$A72,MOVIMIENTOS!$I$4:$I$20000,"Seguros",MOVIMIENTOS!$H$4:$H$20000,"Gasto"))</f>
        <v/>
      </c>
      <c r="N72" s="35" t="str">
        <f aca="false">IF($A72="","",-SUMIFS(MOVIMIENTOS!$E$4:$E$20000,MOVIMIENTOS!$B$4:$B$20000,$A72,MOVIMIENTOS!$I$4:$I$20000,"Personal",MOVIMIENTOS!$H$4:$H$20000,"Gasto"))</f>
        <v/>
      </c>
      <c r="O72" s="35" t="str">
        <f aca="false">IF($A72="","",-SUMIFS(MOVIMIENTOS!$E$4:$E$20000,MOVIMIENTOS!$B$4:$B$20000,$A72,MOVIMIENTOS!$I$4:$I$20000,"Ocio",MOVIMIENTOS!$H$4:$H$20000,"Gasto"))</f>
        <v/>
      </c>
      <c r="P72" s="35" t="str">
        <f aca="false">IF($A72="","",-SUMIFS(MOVIMIENTOS!$E$4:$E$20000,MOVIMIENTOS!$B$4:$B$20000,$A72,MOVIMIENTOS!$I$4:$I$20000,"Viajes",MOVIMIENTOS!$H$4:$H$20000,"Gasto"))</f>
        <v/>
      </c>
      <c r="Q72" s="35" t="str">
        <f aca="false">IF($A72="","",-SUMIFS(MOVIMIENTOS!$E$4:$E$20000,MOVIMIENTOS!$B$4:$B$20000,$A72,MOVIMIENTOS!$I$4:$I$20000,"Efectivo",MOVIMIENTOS!$H$4:$H$20000,"Gasto"))</f>
        <v/>
      </c>
      <c r="R72" s="35" t="str">
        <f aca="false">IF($A72="","",-SUMIFS(MOVIMIENTOS!$E$4:$E$20000,MOVIMIENTOS!$B$4:$B$20000,$A72,MOVIMIENTOS!$I$4:$I$20000,"Otros",MOVIMIENTOS!$H$4:$H$20000,"Gasto"))</f>
        <v/>
      </c>
    </row>
    <row r="73" customFormat="false" ht="15" hidden="false" customHeight="false" outlineLevel="0" collapsed="false">
      <c r="A73" s="95" t="str">
        <f aca="false">IF('MIS DATOS'!A35="","",'MIS DATOS'!A35)</f>
        <v/>
      </c>
      <c r="B73" s="35" t="str">
        <f aca="false">IF($A73="","",'MIS DATOS'!B35)</f>
        <v/>
      </c>
      <c r="C73" s="35" t="str">
        <f aca="false">IF($A73="","",'MIS DATOS'!C35)</f>
        <v/>
      </c>
      <c r="D73" s="35" t="str">
        <f aca="false">IF($A73="","",'MIS DATOS'!D35)</f>
        <v/>
      </c>
      <c r="E73" s="35" t="str">
        <f aca="false">IF($A73="","",'MIS DATOS'!G35)</f>
        <v/>
      </c>
      <c r="F73" s="35" t="str">
        <f aca="false">IF($A73="","",'MIS DATOS'!H35)</f>
        <v/>
      </c>
      <c r="G73" s="35" t="str">
        <f aca="false">IF($A73="","",'MIS DATOS'!I35)</f>
        <v/>
      </c>
      <c r="H73" s="35" t="str">
        <f aca="false">IF($A73="","",'MIS DATOS'!N35)</f>
        <v/>
      </c>
      <c r="I73" s="35" t="str">
        <f aca="false">IF($A73="","",-SUMIFS(MOVIMIENTOS!$E$4:$E$20000,MOVIMIENTOS!$B$4:$B$20000,$A73,MOVIMIENTOS!$I$4:$I$20000,"Casa",MOVIMIENTOS!$H$4:$H$20000,"Gasto"))</f>
        <v/>
      </c>
      <c r="J73" s="35" t="str">
        <f aca="false">IF($A73="","",-SUMIFS(MOVIMIENTOS!$E$4:$E$20000,MOVIMIENTOS!$B$4:$B$20000,$A73,MOVIMIENTOS!$I$4:$I$20000,"Comida",MOVIMIENTOS!$H$4:$H$20000,"Gasto")+SUMIFS(FLEXIBLE!$B$4:$B$200,FLEXIBLE!$F$4:$F$200,$A73))</f>
        <v/>
      </c>
      <c r="K73" s="35" t="str">
        <f aca="false">IF($A73="","",-SUMIFS(MOVIMIENTOS!$E$4:$E$20000,MOVIMIENTOS!$B$4:$B$20000,$A73,MOVIMIENTOS!$I$4:$I$20000,"Transporte",MOVIMIENTOS!$H$4:$H$20000,"Gasto")+SUMIFS(FLEXIBLE!$C$4:$C$200,FLEXIBLE!$F$4:$F$200,$A73))</f>
        <v/>
      </c>
      <c r="L73" s="35" t="str">
        <f aca="false">IF($A73="","",-SUMIFS(MOVIMIENTOS!$E$4:$E$20000,MOVIMIENTOS!$B$4:$B$20000,$A73,MOVIMIENTOS!$I$4:$I$20000,"Salud",MOVIMIENTOS!$H$4:$H$20000,"Gasto"))</f>
        <v/>
      </c>
      <c r="M73" s="35" t="str">
        <f aca="false">IF($A73="","",-SUMIFS(MOVIMIENTOS!$E$4:$E$20000,MOVIMIENTOS!$B$4:$B$20000,$A73,MOVIMIENTOS!$I$4:$I$20000,"Seguros",MOVIMIENTOS!$H$4:$H$20000,"Gasto"))</f>
        <v/>
      </c>
      <c r="N73" s="35" t="str">
        <f aca="false">IF($A73="","",-SUMIFS(MOVIMIENTOS!$E$4:$E$20000,MOVIMIENTOS!$B$4:$B$20000,$A73,MOVIMIENTOS!$I$4:$I$20000,"Personal",MOVIMIENTOS!$H$4:$H$20000,"Gasto"))</f>
        <v/>
      </c>
      <c r="O73" s="35" t="str">
        <f aca="false">IF($A73="","",-SUMIFS(MOVIMIENTOS!$E$4:$E$20000,MOVIMIENTOS!$B$4:$B$20000,$A73,MOVIMIENTOS!$I$4:$I$20000,"Ocio",MOVIMIENTOS!$H$4:$H$20000,"Gasto"))</f>
        <v/>
      </c>
      <c r="P73" s="35" t="str">
        <f aca="false">IF($A73="","",-SUMIFS(MOVIMIENTOS!$E$4:$E$20000,MOVIMIENTOS!$B$4:$B$20000,$A73,MOVIMIENTOS!$I$4:$I$20000,"Viajes",MOVIMIENTOS!$H$4:$H$20000,"Gasto"))</f>
        <v/>
      </c>
      <c r="Q73" s="35" t="str">
        <f aca="false">IF($A73="","",-SUMIFS(MOVIMIENTOS!$E$4:$E$20000,MOVIMIENTOS!$B$4:$B$20000,$A73,MOVIMIENTOS!$I$4:$I$20000,"Efectivo",MOVIMIENTOS!$H$4:$H$20000,"Gasto"))</f>
        <v/>
      </c>
      <c r="R73" s="35" t="str">
        <f aca="false">IF($A73="","",-SUMIFS(MOVIMIENTOS!$E$4:$E$20000,MOVIMIENTOS!$B$4:$B$20000,$A73,MOVIMIENTOS!$I$4:$I$20000,"Otros",MOVIMIENTOS!$H$4:$H$20000,"Gasto"))</f>
        <v/>
      </c>
    </row>
    <row r="74" customFormat="false" ht="15" hidden="false" customHeight="false" outlineLevel="0" collapsed="false">
      <c r="A74" s="95" t="str">
        <f aca="false">IF('MIS DATOS'!A36="","",'MIS DATOS'!A36)</f>
        <v/>
      </c>
      <c r="B74" s="35" t="str">
        <f aca="false">IF($A74="","",'MIS DATOS'!B36)</f>
        <v/>
      </c>
      <c r="C74" s="35" t="str">
        <f aca="false">IF($A74="","",'MIS DATOS'!C36)</f>
        <v/>
      </c>
      <c r="D74" s="35" t="str">
        <f aca="false">IF($A74="","",'MIS DATOS'!D36)</f>
        <v/>
      </c>
      <c r="E74" s="35" t="str">
        <f aca="false">IF($A74="","",'MIS DATOS'!G36)</f>
        <v/>
      </c>
      <c r="F74" s="35" t="str">
        <f aca="false">IF($A74="","",'MIS DATOS'!H36)</f>
        <v/>
      </c>
      <c r="G74" s="35" t="str">
        <f aca="false">IF($A74="","",'MIS DATOS'!I36)</f>
        <v/>
      </c>
      <c r="H74" s="35" t="str">
        <f aca="false">IF($A74="","",'MIS DATOS'!N36)</f>
        <v/>
      </c>
      <c r="I74" s="35" t="str">
        <f aca="false">IF($A74="","",-SUMIFS(MOVIMIENTOS!$E$4:$E$20000,MOVIMIENTOS!$B$4:$B$20000,$A74,MOVIMIENTOS!$I$4:$I$20000,"Casa",MOVIMIENTOS!$H$4:$H$20000,"Gasto"))</f>
        <v/>
      </c>
      <c r="J74" s="35" t="str">
        <f aca="false">IF($A74="","",-SUMIFS(MOVIMIENTOS!$E$4:$E$20000,MOVIMIENTOS!$B$4:$B$20000,$A74,MOVIMIENTOS!$I$4:$I$20000,"Comida",MOVIMIENTOS!$H$4:$H$20000,"Gasto")+SUMIFS(FLEXIBLE!$B$4:$B$200,FLEXIBLE!$F$4:$F$200,$A74))</f>
        <v/>
      </c>
      <c r="K74" s="35" t="str">
        <f aca="false">IF($A74="","",-SUMIFS(MOVIMIENTOS!$E$4:$E$20000,MOVIMIENTOS!$B$4:$B$20000,$A74,MOVIMIENTOS!$I$4:$I$20000,"Transporte",MOVIMIENTOS!$H$4:$H$20000,"Gasto")+SUMIFS(FLEXIBLE!$C$4:$C$200,FLEXIBLE!$F$4:$F$200,$A74))</f>
        <v/>
      </c>
      <c r="L74" s="35" t="str">
        <f aca="false">IF($A74="","",-SUMIFS(MOVIMIENTOS!$E$4:$E$20000,MOVIMIENTOS!$B$4:$B$20000,$A74,MOVIMIENTOS!$I$4:$I$20000,"Salud",MOVIMIENTOS!$H$4:$H$20000,"Gasto"))</f>
        <v/>
      </c>
      <c r="M74" s="35" t="str">
        <f aca="false">IF($A74="","",-SUMIFS(MOVIMIENTOS!$E$4:$E$20000,MOVIMIENTOS!$B$4:$B$20000,$A74,MOVIMIENTOS!$I$4:$I$20000,"Seguros",MOVIMIENTOS!$H$4:$H$20000,"Gasto"))</f>
        <v/>
      </c>
      <c r="N74" s="35" t="str">
        <f aca="false">IF($A74="","",-SUMIFS(MOVIMIENTOS!$E$4:$E$20000,MOVIMIENTOS!$B$4:$B$20000,$A74,MOVIMIENTOS!$I$4:$I$20000,"Personal",MOVIMIENTOS!$H$4:$H$20000,"Gasto"))</f>
        <v/>
      </c>
      <c r="O74" s="35" t="str">
        <f aca="false">IF($A74="","",-SUMIFS(MOVIMIENTOS!$E$4:$E$20000,MOVIMIENTOS!$B$4:$B$20000,$A74,MOVIMIENTOS!$I$4:$I$20000,"Ocio",MOVIMIENTOS!$H$4:$H$20000,"Gasto"))</f>
        <v/>
      </c>
      <c r="P74" s="35" t="str">
        <f aca="false">IF($A74="","",-SUMIFS(MOVIMIENTOS!$E$4:$E$20000,MOVIMIENTOS!$B$4:$B$20000,$A74,MOVIMIENTOS!$I$4:$I$20000,"Viajes",MOVIMIENTOS!$H$4:$H$20000,"Gasto"))</f>
        <v/>
      </c>
      <c r="Q74" s="35" t="str">
        <f aca="false">IF($A74="","",-SUMIFS(MOVIMIENTOS!$E$4:$E$20000,MOVIMIENTOS!$B$4:$B$20000,$A74,MOVIMIENTOS!$I$4:$I$20000,"Efectivo",MOVIMIENTOS!$H$4:$H$20000,"Gasto"))</f>
        <v/>
      </c>
      <c r="R74" s="35" t="str">
        <f aca="false">IF($A74="","",-SUMIFS(MOVIMIENTOS!$E$4:$E$20000,MOVIMIENTOS!$B$4:$B$20000,$A74,MOVIMIENTOS!$I$4:$I$20000,"Otros",MOVIMIENTOS!$H$4:$H$20000,"Gasto"))</f>
        <v/>
      </c>
    </row>
    <row r="75" customFormat="false" ht="15" hidden="false" customHeight="false" outlineLevel="0" collapsed="false">
      <c r="A75" s="95" t="str">
        <f aca="false">IF('MIS DATOS'!A37="","",'MIS DATOS'!A37)</f>
        <v/>
      </c>
      <c r="B75" s="35" t="str">
        <f aca="false">IF($A75="","",'MIS DATOS'!B37)</f>
        <v/>
      </c>
      <c r="C75" s="35" t="str">
        <f aca="false">IF($A75="","",'MIS DATOS'!C37)</f>
        <v/>
      </c>
      <c r="D75" s="35" t="str">
        <f aca="false">IF($A75="","",'MIS DATOS'!D37)</f>
        <v/>
      </c>
      <c r="E75" s="35" t="str">
        <f aca="false">IF($A75="","",'MIS DATOS'!G37)</f>
        <v/>
      </c>
      <c r="F75" s="35" t="str">
        <f aca="false">IF($A75="","",'MIS DATOS'!H37)</f>
        <v/>
      </c>
      <c r="G75" s="35" t="str">
        <f aca="false">IF($A75="","",'MIS DATOS'!I37)</f>
        <v/>
      </c>
      <c r="H75" s="35" t="str">
        <f aca="false">IF($A75="","",'MIS DATOS'!N37)</f>
        <v/>
      </c>
      <c r="I75" s="35" t="str">
        <f aca="false">IF($A75="","",-SUMIFS(MOVIMIENTOS!$E$4:$E$20000,MOVIMIENTOS!$B$4:$B$20000,$A75,MOVIMIENTOS!$I$4:$I$20000,"Casa",MOVIMIENTOS!$H$4:$H$20000,"Gasto"))</f>
        <v/>
      </c>
      <c r="J75" s="35" t="str">
        <f aca="false">IF($A75="","",-SUMIFS(MOVIMIENTOS!$E$4:$E$20000,MOVIMIENTOS!$B$4:$B$20000,$A75,MOVIMIENTOS!$I$4:$I$20000,"Comida",MOVIMIENTOS!$H$4:$H$20000,"Gasto")+SUMIFS(FLEXIBLE!$B$4:$B$200,FLEXIBLE!$F$4:$F$200,$A75))</f>
        <v/>
      </c>
      <c r="K75" s="35" t="str">
        <f aca="false">IF($A75="","",-SUMIFS(MOVIMIENTOS!$E$4:$E$20000,MOVIMIENTOS!$B$4:$B$20000,$A75,MOVIMIENTOS!$I$4:$I$20000,"Transporte",MOVIMIENTOS!$H$4:$H$20000,"Gasto")+SUMIFS(FLEXIBLE!$C$4:$C$200,FLEXIBLE!$F$4:$F$200,$A75))</f>
        <v/>
      </c>
      <c r="L75" s="35" t="str">
        <f aca="false">IF($A75="","",-SUMIFS(MOVIMIENTOS!$E$4:$E$20000,MOVIMIENTOS!$B$4:$B$20000,$A75,MOVIMIENTOS!$I$4:$I$20000,"Salud",MOVIMIENTOS!$H$4:$H$20000,"Gasto"))</f>
        <v/>
      </c>
      <c r="M75" s="35" t="str">
        <f aca="false">IF($A75="","",-SUMIFS(MOVIMIENTOS!$E$4:$E$20000,MOVIMIENTOS!$B$4:$B$20000,$A75,MOVIMIENTOS!$I$4:$I$20000,"Seguros",MOVIMIENTOS!$H$4:$H$20000,"Gasto"))</f>
        <v/>
      </c>
      <c r="N75" s="35" t="str">
        <f aca="false">IF($A75="","",-SUMIFS(MOVIMIENTOS!$E$4:$E$20000,MOVIMIENTOS!$B$4:$B$20000,$A75,MOVIMIENTOS!$I$4:$I$20000,"Personal",MOVIMIENTOS!$H$4:$H$20000,"Gasto"))</f>
        <v/>
      </c>
      <c r="O75" s="35" t="str">
        <f aca="false">IF($A75="","",-SUMIFS(MOVIMIENTOS!$E$4:$E$20000,MOVIMIENTOS!$B$4:$B$20000,$A75,MOVIMIENTOS!$I$4:$I$20000,"Ocio",MOVIMIENTOS!$H$4:$H$20000,"Gasto"))</f>
        <v/>
      </c>
      <c r="P75" s="35" t="str">
        <f aca="false">IF($A75="","",-SUMIFS(MOVIMIENTOS!$E$4:$E$20000,MOVIMIENTOS!$B$4:$B$20000,$A75,MOVIMIENTOS!$I$4:$I$20000,"Viajes",MOVIMIENTOS!$H$4:$H$20000,"Gasto"))</f>
        <v/>
      </c>
      <c r="Q75" s="35" t="str">
        <f aca="false">IF($A75="","",-SUMIFS(MOVIMIENTOS!$E$4:$E$20000,MOVIMIENTOS!$B$4:$B$20000,$A75,MOVIMIENTOS!$I$4:$I$20000,"Efectivo",MOVIMIENTOS!$H$4:$H$20000,"Gasto"))</f>
        <v/>
      </c>
      <c r="R75" s="35" t="str">
        <f aca="false">IF($A75="","",-SUMIFS(MOVIMIENTOS!$E$4:$E$20000,MOVIMIENTOS!$B$4:$B$20000,$A75,MOVIMIENTOS!$I$4:$I$20000,"Otros",MOVIMIENTOS!$H$4:$H$20000,"Gasto"))</f>
        <v/>
      </c>
    </row>
    <row r="76" customFormat="false" ht="15" hidden="false" customHeight="false" outlineLevel="0" collapsed="false">
      <c r="A76" s="95" t="str">
        <f aca="false">IF('MIS DATOS'!A38="","",'MIS DATOS'!A38)</f>
        <v/>
      </c>
      <c r="B76" s="35" t="str">
        <f aca="false">IF($A76="","",'MIS DATOS'!B38)</f>
        <v/>
      </c>
      <c r="C76" s="35" t="str">
        <f aca="false">IF($A76="","",'MIS DATOS'!C38)</f>
        <v/>
      </c>
      <c r="D76" s="35" t="str">
        <f aca="false">IF($A76="","",'MIS DATOS'!D38)</f>
        <v/>
      </c>
      <c r="E76" s="35" t="str">
        <f aca="false">IF($A76="","",'MIS DATOS'!G38)</f>
        <v/>
      </c>
      <c r="F76" s="35" t="str">
        <f aca="false">IF($A76="","",'MIS DATOS'!H38)</f>
        <v/>
      </c>
      <c r="G76" s="35" t="str">
        <f aca="false">IF($A76="","",'MIS DATOS'!I38)</f>
        <v/>
      </c>
      <c r="H76" s="35" t="str">
        <f aca="false">IF($A76="","",'MIS DATOS'!N38)</f>
        <v/>
      </c>
      <c r="I76" s="35" t="str">
        <f aca="false">IF($A76="","",-SUMIFS(MOVIMIENTOS!$E$4:$E$20000,MOVIMIENTOS!$B$4:$B$20000,$A76,MOVIMIENTOS!$I$4:$I$20000,"Casa",MOVIMIENTOS!$H$4:$H$20000,"Gasto"))</f>
        <v/>
      </c>
      <c r="J76" s="35" t="str">
        <f aca="false">IF($A76="","",-SUMIFS(MOVIMIENTOS!$E$4:$E$20000,MOVIMIENTOS!$B$4:$B$20000,$A76,MOVIMIENTOS!$I$4:$I$20000,"Comida",MOVIMIENTOS!$H$4:$H$20000,"Gasto")+SUMIFS(FLEXIBLE!$B$4:$B$200,FLEXIBLE!$F$4:$F$200,$A76))</f>
        <v/>
      </c>
      <c r="K76" s="35" t="str">
        <f aca="false">IF($A76="","",-SUMIFS(MOVIMIENTOS!$E$4:$E$20000,MOVIMIENTOS!$B$4:$B$20000,$A76,MOVIMIENTOS!$I$4:$I$20000,"Transporte",MOVIMIENTOS!$H$4:$H$20000,"Gasto")+SUMIFS(FLEXIBLE!$C$4:$C$200,FLEXIBLE!$F$4:$F$200,$A76))</f>
        <v/>
      </c>
      <c r="L76" s="35" t="str">
        <f aca="false">IF($A76="","",-SUMIFS(MOVIMIENTOS!$E$4:$E$20000,MOVIMIENTOS!$B$4:$B$20000,$A76,MOVIMIENTOS!$I$4:$I$20000,"Salud",MOVIMIENTOS!$H$4:$H$20000,"Gasto"))</f>
        <v/>
      </c>
      <c r="M76" s="35" t="str">
        <f aca="false">IF($A76="","",-SUMIFS(MOVIMIENTOS!$E$4:$E$20000,MOVIMIENTOS!$B$4:$B$20000,$A76,MOVIMIENTOS!$I$4:$I$20000,"Seguros",MOVIMIENTOS!$H$4:$H$20000,"Gasto"))</f>
        <v/>
      </c>
      <c r="N76" s="35" t="str">
        <f aca="false">IF($A76="","",-SUMIFS(MOVIMIENTOS!$E$4:$E$20000,MOVIMIENTOS!$B$4:$B$20000,$A76,MOVIMIENTOS!$I$4:$I$20000,"Personal",MOVIMIENTOS!$H$4:$H$20000,"Gasto"))</f>
        <v/>
      </c>
      <c r="O76" s="35" t="str">
        <f aca="false">IF($A76="","",-SUMIFS(MOVIMIENTOS!$E$4:$E$20000,MOVIMIENTOS!$B$4:$B$20000,$A76,MOVIMIENTOS!$I$4:$I$20000,"Ocio",MOVIMIENTOS!$H$4:$H$20000,"Gasto"))</f>
        <v/>
      </c>
      <c r="P76" s="35" t="str">
        <f aca="false">IF($A76="","",-SUMIFS(MOVIMIENTOS!$E$4:$E$20000,MOVIMIENTOS!$B$4:$B$20000,$A76,MOVIMIENTOS!$I$4:$I$20000,"Viajes",MOVIMIENTOS!$H$4:$H$20000,"Gasto"))</f>
        <v/>
      </c>
      <c r="Q76" s="35" t="str">
        <f aca="false">IF($A76="","",-SUMIFS(MOVIMIENTOS!$E$4:$E$20000,MOVIMIENTOS!$B$4:$B$20000,$A76,MOVIMIENTOS!$I$4:$I$20000,"Efectivo",MOVIMIENTOS!$H$4:$H$20000,"Gasto"))</f>
        <v/>
      </c>
      <c r="R76" s="35" t="str">
        <f aca="false">IF($A76="","",-SUMIFS(MOVIMIENTOS!$E$4:$E$20000,MOVIMIENTOS!$B$4:$B$20000,$A76,MOVIMIENTOS!$I$4:$I$20000,"Otros",MOVIMIENTOS!$H$4:$H$20000,"Gasto"))</f>
        <v/>
      </c>
    </row>
    <row r="77" customFormat="false" ht="15" hidden="false" customHeight="false" outlineLevel="0" collapsed="false">
      <c r="A77" s="95" t="str">
        <f aca="false">IF('MIS DATOS'!A39="","",'MIS DATOS'!A39)</f>
        <v/>
      </c>
      <c r="B77" s="35" t="str">
        <f aca="false">IF($A77="","",'MIS DATOS'!B39)</f>
        <v/>
      </c>
      <c r="C77" s="35" t="str">
        <f aca="false">IF($A77="","",'MIS DATOS'!C39)</f>
        <v/>
      </c>
      <c r="D77" s="35" t="str">
        <f aca="false">IF($A77="","",'MIS DATOS'!D39)</f>
        <v/>
      </c>
      <c r="E77" s="35" t="str">
        <f aca="false">IF($A77="","",'MIS DATOS'!G39)</f>
        <v/>
      </c>
      <c r="F77" s="35" t="str">
        <f aca="false">IF($A77="","",'MIS DATOS'!H39)</f>
        <v/>
      </c>
      <c r="G77" s="35" t="str">
        <f aca="false">IF($A77="","",'MIS DATOS'!I39)</f>
        <v/>
      </c>
      <c r="H77" s="35" t="str">
        <f aca="false">IF($A77="","",'MIS DATOS'!N39)</f>
        <v/>
      </c>
      <c r="I77" s="35" t="str">
        <f aca="false">IF($A77="","",-SUMIFS(MOVIMIENTOS!$E$4:$E$20000,MOVIMIENTOS!$B$4:$B$20000,$A77,MOVIMIENTOS!$I$4:$I$20000,"Casa",MOVIMIENTOS!$H$4:$H$20000,"Gasto"))</f>
        <v/>
      </c>
      <c r="J77" s="35" t="str">
        <f aca="false">IF($A77="","",-SUMIFS(MOVIMIENTOS!$E$4:$E$20000,MOVIMIENTOS!$B$4:$B$20000,$A77,MOVIMIENTOS!$I$4:$I$20000,"Comida",MOVIMIENTOS!$H$4:$H$20000,"Gasto")+SUMIFS(FLEXIBLE!$B$4:$B$200,FLEXIBLE!$F$4:$F$200,$A77))</f>
        <v/>
      </c>
      <c r="K77" s="35" t="str">
        <f aca="false">IF($A77="","",-SUMIFS(MOVIMIENTOS!$E$4:$E$20000,MOVIMIENTOS!$B$4:$B$20000,$A77,MOVIMIENTOS!$I$4:$I$20000,"Transporte",MOVIMIENTOS!$H$4:$H$20000,"Gasto")+SUMIFS(FLEXIBLE!$C$4:$C$200,FLEXIBLE!$F$4:$F$200,$A77))</f>
        <v/>
      </c>
      <c r="L77" s="35" t="str">
        <f aca="false">IF($A77="","",-SUMIFS(MOVIMIENTOS!$E$4:$E$20000,MOVIMIENTOS!$B$4:$B$20000,$A77,MOVIMIENTOS!$I$4:$I$20000,"Salud",MOVIMIENTOS!$H$4:$H$20000,"Gasto"))</f>
        <v/>
      </c>
      <c r="M77" s="35" t="str">
        <f aca="false">IF($A77="","",-SUMIFS(MOVIMIENTOS!$E$4:$E$20000,MOVIMIENTOS!$B$4:$B$20000,$A77,MOVIMIENTOS!$I$4:$I$20000,"Seguros",MOVIMIENTOS!$H$4:$H$20000,"Gasto"))</f>
        <v/>
      </c>
      <c r="N77" s="35" t="str">
        <f aca="false">IF($A77="","",-SUMIFS(MOVIMIENTOS!$E$4:$E$20000,MOVIMIENTOS!$B$4:$B$20000,$A77,MOVIMIENTOS!$I$4:$I$20000,"Personal",MOVIMIENTOS!$H$4:$H$20000,"Gasto"))</f>
        <v/>
      </c>
      <c r="O77" s="35" t="str">
        <f aca="false">IF($A77="","",-SUMIFS(MOVIMIENTOS!$E$4:$E$20000,MOVIMIENTOS!$B$4:$B$20000,$A77,MOVIMIENTOS!$I$4:$I$20000,"Ocio",MOVIMIENTOS!$H$4:$H$20000,"Gasto"))</f>
        <v/>
      </c>
      <c r="P77" s="35" t="str">
        <f aca="false">IF($A77="","",-SUMIFS(MOVIMIENTOS!$E$4:$E$20000,MOVIMIENTOS!$B$4:$B$20000,$A77,MOVIMIENTOS!$I$4:$I$20000,"Viajes",MOVIMIENTOS!$H$4:$H$20000,"Gasto"))</f>
        <v/>
      </c>
      <c r="Q77" s="35" t="str">
        <f aca="false">IF($A77="","",-SUMIFS(MOVIMIENTOS!$E$4:$E$20000,MOVIMIENTOS!$B$4:$B$20000,$A77,MOVIMIENTOS!$I$4:$I$20000,"Efectivo",MOVIMIENTOS!$H$4:$H$20000,"Gasto"))</f>
        <v/>
      </c>
      <c r="R77" s="35" t="str">
        <f aca="false">IF($A77="","",-SUMIFS(MOVIMIENTOS!$E$4:$E$20000,MOVIMIENTOS!$B$4:$B$20000,$A77,MOVIMIENTOS!$I$4:$I$20000,"Otros",MOVIMIENTOS!$H$4:$H$20000,"Gasto"))</f>
        <v/>
      </c>
    </row>
    <row r="78" customFormat="false" ht="15" hidden="false" customHeight="false" outlineLevel="0" collapsed="false">
      <c r="A78" s="95" t="str">
        <f aca="false">IF('MIS DATOS'!A40="","",'MIS DATOS'!A40)</f>
        <v/>
      </c>
      <c r="B78" s="35" t="str">
        <f aca="false">IF($A78="","",'MIS DATOS'!B40)</f>
        <v/>
      </c>
      <c r="C78" s="35" t="str">
        <f aca="false">IF($A78="","",'MIS DATOS'!C40)</f>
        <v/>
      </c>
      <c r="D78" s="35" t="str">
        <f aca="false">IF($A78="","",'MIS DATOS'!D40)</f>
        <v/>
      </c>
      <c r="E78" s="35" t="str">
        <f aca="false">IF($A78="","",'MIS DATOS'!G40)</f>
        <v/>
      </c>
      <c r="F78" s="35" t="str">
        <f aca="false">IF($A78="","",'MIS DATOS'!H40)</f>
        <v/>
      </c>
      <c r="G78" s="35" t="str">
        <f aca="false">IF($A78="","",'MIS DATOS'!I40)</f>
        <v/>
      </c>
      <c r="H78" s="35" t="str">
        <f aca="false">IF($A78="","",'MIS DATOS'!N40)</f>
        <v/>
      </c>
      <c r="I78" s="35" t="str">
        <f aca="false">IF($A78="","",-SUMIFS(MOVIMIENTOS!$E$4:$E$20000,MOVIMIENTOS!$B$4:$B$20000,$A78,MOVIMIENTOS!$I$4:$I$20000,"Casa",MOVIMIENTOS!$H$4:$H$20000,"Gasto"))</f>
        <v/>
      </c>
      <c r="J78" s="35" t="str">
        <f aca="false">IF($A78="","",-SUMIFS(MOVIMIENTOS!$E$4:$E$20000,MOVIMIENTOS!$B$4:$B$20000,$A78,MOVIMIENTOS!$I$4:$I$20000,"Comida",MOVIMIENTOS!$H$4:$H$20000,"Gasto")+SUMIFS(FLEXIBLE!$B$4:$B$200,FLEXIBLE!$F$4:$F$200,$A78))</f>
        <v/>
      </c>
      <c r="K78" s="35" t="str">
        <f aca="false">IF($A78="","",-SUMIFS(MOVIMIENTOS!$E$4:$E$20000,MOVIMIENTOS!$B$4:$B$20000,$A78,MOVIMIENTOS!$I$4:$I$20000,"Transporte",MOVIMIENTOS!$H$4:$H$20000,"Gasto")+SUMIFS(FLEXIBLE!$C$4:$C$200,FLEXIBLE!$F$4:$F$200,$A78))</f>
        <v/>
      </c>
      <c r="L78" s="35" t="str">
        <f aca="false">IF($A78="","",-SUMIFS(MOVIMIENTOS!$E$4:$E$20000,MOVIMIENTOS!$B$4:$B$20000,$A78,MOVIMIENTOS!$I$4:$I$20000,"Salud",MOVIMIENTOS!$H$4:$H$20000,"Gasto"))</f>
        <v/>
      </c>
      <c r="M78" s="35" t="str">
        <f aca="false">IF($A78="","",-SUMIFS(MOVIMIENTOS!$E$4:$E$20000,MOVIMIENTOS!$B$4:$B$20000,$A78,MOVIMIENTOS!$I$4:$I$20000,"Seguros",MOVIMIENTOS!$H$4:$H$20000,"Gasto"))</f>
        <v/>
      </c>
      <c r="N78" s="35" t="str">
        <f aca="false">IF($A78="","",-SUMIFS(MOVIMIENTOS!$E$4:$E$20000,MOVIMIENTOS!$B$4:$B$20000,$A78,MOVIMIENTOS!$I$4:$I$20000,"Personal",MOVIMIENTOS!$H$4:$H$20000,"Gasto"))</f>
        <v/>
      </c>
      <c r="O78" s="35" t="str">
        <f aca="false">IF($A78="","",-SUMIFS(MOVIMIENTOS!$E$4:$E$20000,MOVIMIENTOS!$B$4:$B$20000,$A78,MOVIMIENTOS!$I$4:$I$20000,"Ocio",MOVIMIENTOS!$H$4:$H$20000,"Gasto"))</f>
        <v/>
      </c>
      <c r="P78" s="35" t="str">
        <f aca="false">IF($A78="","",-SUMIFS(MOVIMIENTOS!$E$4:$E$20000,MOVIMIENTOS!$B$4:$B$20000,$A78,MOVIMIENTOS!$I$4:$I$20000,"Viajes",MOVIMIENTOS!$H$4:$H$20000,"Gasto"))</f>
        <v/>
      </c>
      <c r="Q78" s="35" t="str">
        <f aca="false">IF($A78="","",-SUMIFS(MOVIMIENTOS!$E$4:$E$20000,MOVIMIENTOS!$B$4:$B$20000,$A78,MOVIMIENTOS!$I$4:$I$20000,"Efectivo",MOVIMIENTOS!$H$4:$H$20000,"Gasto"))</f>
        <v/>
      </c>
      <c r="R78" s="35" t="str">
        <f aca="false">IF($A78="","",-SUMIFS(MOVIMIENTOS!$E$4:$E$20000,MOVIMIENTOS!$B$4:$B$20000,$A78,MOVIMIENTOS!$I$4:$I$20000,"Otros",MOVIMIENTOS!$H$4:$H$20000,"Gasto"))</f>
        <v/>
      </c>
    </row>
    <row r="79" customFormat="false" ht="15" hidden="false" customHeight="false" outlineLevel="0" collapsed="false">
      <c r="A79" s="95" t="str">
        <f aca="false">IF('MIS DATOS'!A41="","",'MIS DATOS'!A41)</f>
        <v/>
      </c>
      <c r="B79" s="35" t="str">
        <f aca="false">IF($A79="","",'MIS DATOS'!B41)</f>
        <v/>
      </c>
      <c r="C79" s="35" t="str">
        <f aca="false">IF($A79="","",'MIS DATOS'!C41)</f>
        <v/>
      </c>
      <c r="D79" s="35" t="str">
        <f aca="false">IF($A79="","",'MIS DATOS'!D41)</f>
        <v/>
      </c>
      <c r="E79" s="35" t="str">
        <f aca="false">IF($A79="","",'MIS DATOS'!G41)</f>
        <v/>
      </c>
      <c r="F79" s="35" t="str">
        <f aca="false">IF($A79="","",'MIS DATOS'!H41)</f>
        <v/>
      </c>
      <c r="G79" s="35" t="str">
        <f aca="false">IF($A79="","",'MIS DATOS'!I41)</f>
        <v/>
      </c>
      <c r="H79" s="35" t="str">
        <f aca="false">IF($A79="","",'MIS DATOS'!N41)</f>
        <v/>
      </c>
      <c r="I79" s="35" t="str">
        <f aca="false">IF($A79="","",-SUMIFS(MOVIMIENTOS!$E$4:$E$20000,MOVIMIENTOS!$B$4:$B$20000,$A79,MOVIMIENTOS!$I$4:$I$20000,"Casa",MOVIMIENTOS!$H$4:$H$20000,"Gasto"))</f>
        <v/>
      </c>
      <c r="J79" s="35" t="str">
        <f aca="false">IF($A79="","",-SUMIFS(MOVIMIENTOS!$E$4:$E$20000,MOVIMIENTOS!$B$4:$B$20000,$A79,MOVIMIENTOS!$I$4:$I$20000,"Comida",MOVIMIENTOS!$H$4:$H$20000,"Gasto")+SUMIFS(FLEXIBLE!$B$4:$B$200,FLEXIBLE!$F$4:$F$200,$A79))</f>
        <v/>
      </c>
      <c r="K79" s="35" t="str">
        <f aca="false">IF($A79="","",-SUMIFS(MOVIMIENTOS!$E$4:$E$20000,MOVIMIENTOS!$B$4:$B$20000,$A79,MOVIMIENTOS!$I$4:$I$20000,"Transporte",MOVIMIENTOS!$H$4:$H$20000,"Gasto")+SUMIFS(FLEXIBLE!$C$4:$C$200,FLEXIBLE!$F$4:$F$200,$A79))</f>
        <v/>
      </c>
      <c r="L79" s="35" t="str">
        <f aca="false">IF($A79="","",-SUMIFS(MOVIMIENTOS!$E$4:$E$20000,MOVIMIENTOS!$B$4:$B$20000,$A79,MOVIMIENTOS!$I$4:$I$20000,"Salud",MOVIMIENTOS!$H$4:$H$20000,"Gasto"))</f>
        <v/>
      </c>
      <c r="M79" s="35" t="str">
        <f aca="false">IF($A79="","",-SUMIFS(MOVIMIENTOS!$E$4:$E$20000,MOVIMIENTOS!$B$4:$B$20000,$A79,MOVIMIENTOS!$I$4:$I$20000,"Seguros",MOVIMIENTOS!$H$4:$H$20000,"Gasto"))</f>
        <v/>
      </c>
      <c r="N79" s="35" t="str">
        <f aca="false">IF($A79="","",-SUMIFS(MOVIMIENTOS!$E$4:$E$20000,MOVIMIENTOS!$B$4:$B$20000,$A79,MOVIMIENTOS!$I$4:$I$20000,"Personal",MOVIMIENTOS!$H$4:$H$20000,"Gasto"))</f>
        <v/>
      </c>
      <c r="O79" s="35" t="str">
        <f aca="false">IF($A79="","",-SUMIFS(MOVIMIENTOS!$E$4:$E$20000,MOVIMIENTOS!$B$4:$B$20000,$A79,MOVIMIENTOS!$I$4:$I$20000,"Ocio",MOVIMIENTOS!$H$4:$H$20000,"Gasto"))</f>
        <v/>
      </c>
      <c r="P79" s="35" t="str">
        <f aca="false">IF($A79="","",-SUMIFS(MOVIMIENTOS!$E$4:$E$20000,MOVIMIENTOS!$B$4:$B$20000,$A79,MOVIMIENTOS!$I$4:$I$20000,"Viajes",MOVIMIENTOS!$H$4:$H$20000,"Gasto"))</f>
        <v/>
      </c>
      <c r="Q79" s="35" t="str">
        <f aca="false">IF($A79="","",-SUMIFS(MOVIMIENTOS!$E$4:$E$20000,MOVIMIENTOS!$B$4:$B$20000,$A79,MOVIMIENTOS!$I$4:$I$20000,"Efectivo",MOVIMIENTOS!$H$4:$H$20000,"Gasto"))</f>
        <v/>
      </c>
      <c r="R79" s="35" t="str">
        <f aca="false">IF($A79="","",-SUMIFS(MOVIMIENTOS!$E$4:$E$20000,MOVIMIENTOS!$B$4:$B$20000,$A79,MOVIMIENTOS!$I$4:$I$20000,"Otros",MOVIMIENTOS!$H$4:$H$20000,"Gasto"))</f>
        <v/>
      </c>
    </row>
    <row r="80" customFormat="false" ht="15" hidden="false" customHeight="false" outlineLevel="0" collapsed="false">
      <c r="A80" s="95" t="str">
        <f aca="false">IF('MIS DATOS'!A42="","",'MIS DATOS'!A42)</f>
        <v/>
      </c>
      <c r="B80" s="35" t="str">
        <f aca="false">IF($A80="","",'MIS DATOS'!B42)</f>
        <v/>
      </c>
      <c r="C80" s="35" t="str">
        <f aca="false">IF($A80="","",'MIS DATOS'!C42)</f>
        <v/>
      </c>
      <c r="D80" s="35" t="str">
        <f aca="false">IF($A80="","",'MIS DATOS'!D42)</f>
        <v/>
      </c>
      <c r="E80" s="35" t="str">
        <f aca="false">IF($A80="","",'MIS DATOS'!G42)</f>
        <v/>
      </c>
      <c r="F80" s="35" t="str">
        <f aca="false">IF($A80="","",'MIS DATOS'!H42)</f>
        <v/>
      </c>
      <c r="G80" s="35" t="str">
        <f aca="false">IF($A80="","",'MIS DATOS'!I42)</f>
        <v/>
      </c>
      <c r="H80" s="35" t="str">
        <f aca="false">IF($A80="","",'MIS DATOS'!N42)</f>
        <v/>
      </c>
      <c r="I80" s="35" t="str">
        <f aca="false">IF($A80="","",-SUMIFS(MOVIMIENTOS!$E$4:$E$20000,MOVIMIENTOS!$B$4:$B$20000,$A80,MOVIMIENTOS!$I$4:$I$20000,"Casa",MOVIMIENTOS!$H$4:$H$20000,"Gasto"))</f>
        <v/>
      </c>
      <c r="J80" s="35" t="str">
        <f aca="false">IF($A80="","",-SUMIFS(MOVIMIENTOS!$E$4:$E$20000,MOVIMIENTOS!$B$4:$B$20000,$A80,MOVIMIENTOS!$I$4:$I$20000,"Comida",MOVIMIENTOS!$H$4:$H$20000,"Gasto")+SUMIFS(FLEXIBLE!$B$4:$B$200,FLEXIBLE!$F$4:$F$200,$A80))</f>
        <v/>
      </c>
      <c r="K80" s="35" t="str">
        <f aca="false">IF($A80="","",-SUMIFS(MOVIMIENTOS!$E$4:$E$20000,MOVIMIENTOS!$B$4:$B$20000,$A80,MOVIMIENTOS!$I$4:$I$20000,"Transporte",MOVIMIENTOS!$H$4:$H$20000,"Gasto")+SUMIFS(FLEXIBLE!$C$4:$C$200,FLEXIBLE!$F$4:$F$200,$A80))</f>
        <v/>
      </c>
      <c r="L80" s="35" t="str">
        <f aca="false">IF($A80="","",-SUMIFS(MOVIMIENTOS!$E$4:$E$20000,MOVIMIENTOS!$B$4:$B$20000,$A80,MOVIMIENTOS!$I$4:$I$20000,"Salud",MOVIMIENTOS!$H$4:$H$20000,"Gasto"))</f>
        <v/>
      </c>
      <c r="M80" s="35" t="str">
        <f aca="false">IF($A80="","",-SUMIFS(MOVIMIENTOS!$E$4:$E$20000,MOVIMIENTOS!$B$4:$B$20000,$A80,MOVIMIENTOS!$I$4:$I$20000,"Seguros",MOVIMIENTOS!$H$4:$H$20000,"Gasto"))</f>
        <v/>
      </c>
      <c r="N80" s="35" t="str">
        <f aca="false">IF($A80="","",-SUMIFS(MOVIMIENTOS!$E$4:$E$20000,MOVIMIENTOS!$B$4:$B$20000,$A80,MOVIMIENTOS!$I$4:$I$20000,"Personal",MOVIMIENTOS!$H$4:$H$20000,"Gasto"))</f>
        <v/>
      </c>
      <c r="O80" s="35" t="str">
        <f aca="false">IF($A80="","",-SUMIFS(MOVIMIENTOS!$E$4:$E$20000,MOVIMIENTOS!$B$4:$B$20000,$A80,MOVIMIENTOS!$I$4:$I$20000,"Ocio",MOVIMIENTOS!$H$4:$H$20000,"Gasto"))</f>
        <v/>
      </c>
      <c r="P80" s="35" t="str">
        <f aca="false">IF($A80="","",-SUMIFS(MOVIMIENTOS!$E$4:$E$20000,MOVIMIENTOS!$B$4:$B$20000,$A80,MOVIMIENTOS!$I$4:$I$20000,"Viajes",MOVIMIENTOS!$H$4:$H$20000,"Gasto"))</f>
        <v/>
      </c>
      <c r="Q80" s="35" t="str">
        <f aca="false">IF($A80="","",-SUMIFS(MOVIMIENTOS!$E$4:$E$20000,MOVIMIENTOS!$B$4:$B$20000,$A80,MOVIMIENTOS!$I$4:$I$20000,"Efectivo",MOVIMIENTOS!$H$4:$H$20000,"Gasto"))</f>
        <v/>
      </c>
      <c r="R80" s="35" t="str">
        <f aca="false">IF($A80="","",-SUMIFS(MOVIMIENTOS!$E$4:$E$20000,MOVIMIENTOS!$B$4:$B$20000,$A80,MOVIMIENTOS!$I$4:$I$20000,"Otros",MOVIMIENTOS!$H$4:$H$20000,"Gasto"))</f>
        <v/>
      </c>
    </row>
    <row r="81" customFormat="false" ht="15" hidden="false" customHeight="false" outlineLevel="0" collapsed="false">
      <c r="A81" s="95" t="str">
        <f aca="false">IF('MIS DATOS'!A43="","",'MIS DATOS'!A43)</f>
        <v/>
      </c>
      <c r="B81" s="35" t="str">
        <f aca="false">IF($A81="","",'MIS DATOS'!B43)</f>
        <v/>
      </c>
      <c r="C81" s="35" t="str">
        <f aca="false">IF($A81="","",'MIS DATOS'!C43)</f>
        <v/>
      </c>
      <c r="D81" s="35" t="str">
        <f aca="false">IF($A81="","",'MIS DATOS'!D43)</f>
        <v/>
      </c>
      <c r="E81" s="35" t="str">
        <f aca="false">IF($A81="","",'MIS DATOS'!G43)</f>
        <v/>
      </c>
      <c r="F81" s="35" t="str">
        <f aca="false">IF($A81="","",'MIS DATOS'!H43)</f>
        <v/>
      </c>
      <c r="G81" s="35" t="str">
        <f aca="false">IF($A81="","",'MIS DATOS'!I43)</f>
        <v/>
      </c>
      <c r="H81" s="35" t="str">
        <f aca="false">IF($A81="","",'MIS DATOS'!N43)</f>
        <v/>
      </c>
      <c r="I81" s="35" t="str">
        <f aca="false">IF($A81="","",-SUMIFS(MOVIMIENTOS!$E$4:$E$20000,MOVIMIENTOS!$B$4:$B$20000,$A81,MOVIMIENTOS!$I$4:$I$20000,"Casa",MOVIMIENTOS!$H$4:$H$20000,"Gasto"))</f>
        <v/>
      </c>
      <c r="J81" s="35" t="str">
        <f aca="false">IF($A81="","",-SUMIFS(MOVIMIENTOS!$E$4:$E$20000,MOVIMIENTOS!$B$4:$B$20000,$A81,MOVIMIENTOS!$I$4:$I$20000,"Comida",MOVIMIENTOS!$H$4:$H$20000,"Gasto")+SUMIFS(FLEXIBLE!$B$4:$B$200,FLEXIBLE!$F$4:$F$200,$A81))</f>
        <v/>
      </c>
      <c r="K81" s="35" t="str">
        <f aca="false">IF($A81="","",-SUMIFS(MOVIMIENTOS!$E$4:$E$20000,MOVIMIENTOS!$B$4:$B$20000,$A81,MOVIMIENTOS!$I$4:$I$20000,"Transporte",MOVIMIENTOS!$H$4:$H$20000,"Gasto")+SUMIFS(FLEXIBLE!$C$4:$C$200,FLEXIBLE!$F$4:$F$200,$A81))</f>
        <v/>
      </c>
      <c r="L81" s="35" t="str">
        <f aca="false">IF($A81="","",-SUMIFS(MOVIMIENTOS!$E$4:$E$20000,MOVIMIENTOS!$B$4:$B$20000,$A81,MOVIMIENTOS!$I$4:$I$20000,"Salud",MOVIMIENTOS!$H$4:$H$20000,"Gasto"))</f>
        <v/>
      </c>
      <c r="M81" s="35" t="str">
        <f aca="false">IF($A81="","",-SUMIFS(MOVIMIENTOS!$E$4:$E$20000,MOVIMIENTOS!$B$4:$B$20000,$A81,MOVIMIENTOS!$I$4:$I$20000,"Seguros",MOVIMIENTOS!$H$4:$H$20000,"Gasto"))</f>
        <v/>
      </c>
      <c r="N81" s="35" t="str">
        <f aca="false">IF($A81="","",-SUMIFS(MOVIMIENTOS!$E$4:$E$20000,MOVIMIENTOS!$B$4:$B$20000,$A81,MOVIMIENTOS!$I$4:$I$20000,"Personal",MOVIMIENTOS!$H$4:$H$20000,"Gasto"))</f>
        <v/>
      </c>
      <c r="O81" s="35" t="str">
        <f aca="false">IF($A81="","",-SUMIFS(MOVIMIENTOS!$E$4:$E$20000,MOVIMIENTOS!$B$4:$B$20000,$A81,MOVIMIENTOS!$I$4:$I$20000,"Ocio",MOVIMIENTOS!$H$4:$H$20000,"Gasto"))</f>
        <v/>
      </c>
      <c r="P81" s="35" t="str">
        <f aca="false">IF($A81="","",-SUMIFS(MOVIMIENTOS!$E$4:$E$20000,MOVIMIENTOS!$B$4:$B$20000,$A81,MOVIMIENTOS!$I$4:$I$20000,"Viajes",MOVIMIENTOS!$H$4:$H$20000,"Gasto"))</f>
        <v/>
      </c>
      <c r="Q81" s="35" t="str">
        <f aca="false">IF($A81="","",-SUMIFS(MOVIMIENTOS!$E$4:$E$20000,MOVIMIENTOS!$B$4:$B$20000,$A81,MOVIMIENTOS!$I$4:$I$20000,"Efectivo",MOVIMIENTOS!$H$4:$H$20000,"Gasto"))</f>
        <v/>
      </c>
      <c r="R81" s="35" t="str">
        <f aca="false">IF($A81="","",-SUMIFS(MOVIMIENTOS!$E$4:$E$20000,MOVIMIENTOS!$B$4:$B$20000,$A81,MOVIMIENTOS!$I$4:$I$20000,"Otros",MOVIMIENTOS!$H$4:$H$20000,"Gasto"))</f>
        <v/>
      </c>
    </row>
    <row r="82" customFormat="false" ht="15" hidden="false" customHeight="false" outlineLevel="0" collapsed="false">
      <c r="A82" s="95" t="str">
        <f aca="false">IF('MIS DATOS'!A44="","",'MIS DATOS'!A44)</f>
        <v/>
      </c>
      <c r="B82" s="35" t="str">
        <f aca="false">IF($A82="","",'MIS DATOS'!B44)</f>
        <v/>
      </c>
      <c r="C82" s="35" t="str">
        <f aca="false">IF($A82="","",'MIS DATOS'!C44)</f>
        <v/>
      </c>
      <c r="D82" s="35" t="str">
        <f aca="false">IF($A82="","",'MIS DATOS'!D44)</f>
        <v/>
      </c>
      <c r="E82" s="35" t="str">
        <f aca="false">IF($A82="","",'MIS DATOS'!G44)</f>
        <v/>
      </c>
      <c r="F82" s="35" t="str">
        <f aca="false">IF($A82="","",'MIS DATOS'!H44)</f>
        <v/>
      </c>
      <c r="G82" s="35" t="str">
        <f aca="false">IF($A82="","",'MIS DATOS'!I44)</f>
        <v/>
      </c>
      <c r="H82" s="35" t="str">
        <f aca="false">IF($A82="","",'MIS DATOS'!N44)</f>
        <v/>
      </c>
      <c r="I82" s="35" t="str">
        <f aca="false">IF($A82="","",-SUMIFS(MOVIMIENTOS!$E$4:$E$20000,MOVIMIENTOS!$B$4:$B$20000,$A82,MOVIMIENTOS!$I$4:$I$20000,"Casa",MOVIMIENTOS!$H$4:$H$20000,"Gasto"))</f>
        <v/>
      </c>
      <c r="J82" s="35" t="str">
        <f aca="false">IF($A82="","",-SUMIFS(MOVIMIENTOS!$E$4:$E$20000,MOVIMIENTOS!$B$4:$B$20000,$A82,MOVIMIENTOS!$I$4:$I$20000,"Comida",MOVIMIENTOS!$H$4:$H$20000,"Gasto")+SUMIFS(FLEXIBLE!$B$4:$B$200,FLEXIBLE!$F$4:$F$200,$A82))</f>
        <v/>
      </c>
      <c r="K82" s="35" t="str">
        <f aca="false">IF($A82="","",-SUMIFS(MOVIMIENTOS!$E$4:$E$20000,MOVIMIENTOS!$B$4:$B$20000,$A82,MOVIMIENTOS!$I$4:$I$20000,"Transporte",MOVIMIENTOS!$H$4:$H$20000,"Gasto")+SUMIFS(FLEXIBLE!$C$4:$C$200,FLEXIBLE!$F$4:$F$200,$A82))</f>
        <v/>
      </c>
      <c r="L82" s="35" t="str">
        <f aca="false">IF($A82="","",-SUMIFS(MOVIMIENTOS!$E$4:$E$20000,MOVIMIENTOS!$B$4:$B$20000,$A82,MOVIMIENTOS!$I$4:$I$20000,"Salud",MOVIMIENTOS!$H$4:$H$20000,"Gasto"))</f>
        <v/>
      </c>
      <c r="M82" s="35" t="str">
        <f aca="false">IF($A82="","",-SUMIFS(MOVIMIENTOS!$E$4:$E$20000,MOVIMIENTOS!$B$4:$B$20000,$A82,MOVIMIENTOS!$I$4:$I$20000,"Seguros",MOVIMIENTOS!$H$4:$H$20000,"Gasto"))</f>
        <v/>
      </c>
      <c r="N82" s="35" t="str">
        <f aca="false">IF($A82="","",-SUMIFS(MOVIMIENTOS!$E$4:$E$20000,MOVIMIENTOS!$B$4:$B$20000,$A82,MOVIMIENTOS!$I$4:$I$20000,"Personal",MOVIMIENTOS!$H$4:$H$20000,"Gasto"))</f>
        <v/>
      </c>
      <c r="O82" s="35" t="str">
        <f aca="false">IF($A82="","",-SUMIFS(MOVIMIENTOS!$E$4:$E$20000,MOVIMIENTOS!$B$4:$B$20000,$A82,MOVIMIENTOS!$I$4:$I$20000,"Ocio",MOVIMIENTOS!$H$4:$H$20000,"Gasto"))</f>
        <v/>
      </c>
      <c r="P82" s="35" t="str">
        <f aca="false">IF($A82="","",-SUMIFS(MOVIMIENTOS!$E$4:$E$20000,MOVIMIENTOS!$B$4:$B$20000,$A82,MOVIMIENTOS!$I$4:$I$20000,"Viajes",MOVIMIENTOS!$H$4:$H$20000,"Gasto"))</f>
        <v/>
      </c>
      <c r="Q82" s="35" t="str">
        <f aca="false">IF($A82="","",-SUMIFS(MOVIMIENTOS!$E$4:$E$20000,MOVIMIENTOS!$B$4:$B$20000,$A82,MOVIMIENTOS!$I$4:$I$20000,"Efectivo",MOVIMIENTOS!$H$4:$H$20000,"Gasto"))</f>
        <v/>
      </c>
      <c r="R82" s="35" t="str">
        <f aca="false">IF($A82="","",-SUMIFS(MOVIMIENTOS!$E$4:$E$20000,MOVIMIENTOS!$B$4:$B$20000,$A82,MOVIMIENTOS!$I$4:$I$20000,"Otros",MOVIMIENTOS!$H$4:$H$20000,"Gasto"))</f>
        <v/>
      </c>
    </row>
    <row r="83" customFormat="false" ht="15" hidden="false" customHeight="false" outlineLevel="0" collapsed="false">
      <c r="A83" s="95" t="str">
        <f aca="false">IF('MIS DATOS'!A45="","",'MIS DATOS'!A45)</f>
        <v/>
      </c>
      <c r="B83" s="35" t="str">
        <f aca="false">IF($A83="","",'MIS DATOS'!B45)</f>
        <v/>
      </c>
      <c r="C83" s="35" t="str">
        <f aca="false">IF($A83="","",'MIS DATOS'!C45)</f>
        <v/>
      </c>
      <c r="D83" s="35" t="str">
        <f aca="false">IF($A83="","",'MIS DATOS'!D45)</f>
        <v/>
      </c>
      <c r="E83" s="35" t="str">
        <f aca="false">IF($A83="","",'MIS DATOS'!G45)</f>
        <v/>
      </c>
      <c r="F83" s="35" t="str">
        <f aca="false">IF($A83="","",'MIS DATOS'!H45)</f>
        <v/>
      </c>
      <c r="G83" s="35" t="str">
        <f aca="false">IF($A83="","",'MIS DATOS'!I45)</f>
        <v/>
      </c>
      <c r="H83" s="35" t="str">
        <f aca="false">IF($A83="","",'MIS DATOS'!N45)</f>
        <v/>
      </c>
      <c r="I83" s="35" t="str">
        <f aca="false">IF($A83="","",-SUMIFS(MOVIMIENTOS!$E$4:$E$20000,MOVIMIENTOS!$B$4:$B$20000,$A83,MOVIMIENTOS!$I$4:$I$20000,"Casa",MOVIMIENTOS!$H$4:$H$20000,"Gasto"))</f>
        <v/>
      </c>
      <c r="J83" s="35" t="str">
        <f aca="false">IF($A83="","",-SUMIFS(MOVIMIENTOS!$E$4:$E$20000,MOVIMIENTOS!$B$4:$B$20000,$A83,MOVIMIENTOS!$I$4:$I$20000,"Comida",MOVIMIENTOS!$H$4:$H$20000,"Gasto")+SUMIFS(FLEXIBLE!$B$4:$B$200,FLEXIBLE!$F$4:$F$200,$A83))</f>
        <v/>
      </c>
      <c r="K83" s="35" t="str">
        <f aca="false">IF($A83="","",-SUMIFS(MOVIMIENTOS!$E$4:$E$20000,MOVIMIENTOS!$B$4:$B$20000,$A83,MOVIMIENTOS!$I$4:$I$20000,"Transporte",MOVIMIENTOS!$H$4:$H$20000,"Gasto")+SUMIFS(FLEXIBLE!$C$4:$C$200,FLEXIBLE!$F$4:$F$200,$A83))</f>
        <v/>
      </c>
      <c r="L83" s="35" t="str">
        <f aca="false">IF($A83="","",-SUMIFS(MOVIMIENTOS!$E$4:$E$20000,MOVIMIENTOS!$B$4:$B$20000,$A83,MOVIMIENTOS!$I$4:$I$20000,"Salud",MOVIMIENTOS!$H$4:$H$20000,"Gasto"))</f>
        <v/>
      </c>
      <c r="M83" s="35" t="str">
        <f aca="false">IF($A83="","",-SUMIFS(MOVIMIENTOS!$E$4:$E$20000,MOVIMIENTOS!$B$4:$B$20000,$A83,MOVIMIENTOS!$I$4:$I$20000,"Seguros",MOVIMIENTOS!$H$4:$H$20000,"Gasto"))</f>
        <v/>
      </c>
      <c r="N83" s="35" t="str">
        <f aca="false">IF($A83="","",-SUMIFS(MOVIMIENTOS!$E$4:$E$20000,MOVIMIENTOS!$B$4:$B$20000,$A83,MOVIMIENTOS!$I$4:$I$20000,"Personal",MOVIMIENTOS!$H$4:$H$20000,"Gasto"))</f>
        <v/>
      </c>
      <c r="O83" s="35" t="str">
        <f aca="false">IF($A83="","",-SUMIFS(MOVIMIENTOS!$E$4:$E$20000,MOVIMIENTOS!$B$4:$B$20000,$A83,MOVIMIENTOS!$I$4:$I$20000,"Ocio",MOVIMIENTOS!$H$4:$H$20000,"Gasto"))</f>
        <v/>
      </c>
      <c r="P83" s="35" t="str">
        <f aca="false">IF($A83="","",-SUMIFS(MOVIMIENTOS!$E$4:$E$20000,MOVIMIENTOS!$B$4:$B$20000,$A83,MOVIMIENTOS!$I$4:$I$20000,"Viajes",MOVIMIENTOS!$H$4:$H$20000,"Gasto"))</f>
        <v/>
      </c>
      <c r="Q83" s="35" t="str">
        <f aca="false">IF($A83="","",-SUMIFS(MOVIMIENTOS!$E$4:$E$20000,MOVIMIENTOS!$B$4:$B$20000,$A83,MOVIMIENTOS!$I$4:$I$20000,"Efectivo",MOVIMIENTOS!$H$4:$H$20000,"Gasto"))</f>
        <v/>
      </c>
      <c r="R83" s="35" t="str">
        <f aca="false">IF($A83="","",-SUMIFS(MOVIMIENTOS!$E$4:$E$20000,MOVIMIENTOS!$B$4:$B$20000,$A83,MOVIMIENTOS!$I$4:$I$20000,"Otros",MOVIMIENTOS!$H$4:$H$20000,"Gasto"))</f>
        <v/>
      </c>
    </row>
    <row r="84" customFormat="false" ht="15" hidden="false" customHeight="false" outlineLevel="0" collapsed="false">
      <c r="A84" s="95" t="str">
        <f aca="false">IF('MIS DATOS'!A46="","",'MIS DATOS'!A46)</f>
        <v/>
      </c>
      <c r="B84" s="35" t="str">
        <f aca="false">IF($A84="","",'MIS DATOS'!B46)</f>
        <v/>
      </c>
      <c r="C84" s="35" t="str">
        <f aca="false">IF($A84="","",'MIS DATOS'!C46)</f>
        <v/>
      </c>
      <c r="D84" s="35" t="str">
        <f aca="false">IF($A84="","",'MIS DATOS'!D46)</f>
        <v/>
      </c>
      <c r="E84" s="35" t="str">
        <f aca="false">IF($A84="","",'MIS DATOS'!G46)</f>
        <v/>
      </c>
      <c r="F84" s="35" t="str">
        <f aca="false">IF($A84="","",'MIS DATOS'!H46)</f>
        <v/>
      </c>
      <c r="G84" s="35" t="str">
        <f aca="false">IF($A84="","",'MIS DATOS'!I46)</f>
        <v/>
      </c>
      <c r="H84" s="35" t="str">
        <f aca="false">IF($A84="","",'MIS DATOS'!N46)</f>
        <v/>
      </c>
      <c r="I84" s="35" t="str">
        <f aca="false">IF($A84="","",-SUMIFS(MOVIMIENTOS!$E$4:$E$20000,MOVIMIENTOS!$B$4:$B$20000,$A84,MOVIMIENTOS!$I$4:$I$20000,"Casa",MOVIMIENTOS!$H$4:$H$20000,"Gasto"))</f>
        <v/>
      </c>
      <c r="J84" s="35" t="str">
        <f aca="false">IF($A84="","",-SUMIFS(MOVIMIENTOS!$E$4:$E$20000,MOVIMIENTOS!$B$4:$B$20000,$A84,MOVIMIENTOS!$I$4:$I$20000,"Comida",MOVIMIENTOS!$H$4:$H$20000,"Gasto")+SUMIFS(FLEXIBLE!$B$4:$B$200,FLEXIBLE!$F$4:$F$200,$A84))</f>
        <v/>
      </c>
      <c r="K84" s="35" t="str">
        <f aca="false">IF($A84="","",-SUMIFS(MOVIMIENTOS!$E$4:$E$20000,MOVIMIENTOS!$B$4:$B$20000,$A84,MOVIMIENTOS!$I$4:$I$20000,"Transporte",MOVIMIENTOS!$H$4:$H$20000,"Gasto")+SUMIFS(FLEXIBLE!$C$4:$C$200,FLEXIBLE!$F$4:$F$200,$A84))</f>
        <v/>
      </c>
      <c r="L84" s="35" t="str">
        <f aca="false">IF($A84="","",-SUMIFS(MOVIMIENTOS!$E$4:$E$20000,MOVIMIENTOS!$B$4:$B$20000,$A84,MOVIMIENTOS!$I$4:$I$20000,"Salud",MOVIMIENTOS!$H$4:$H$20000,"Gasto"))</f>
        <v/>
      </c>
      <c r="M84" s="35" t="str">
        <f aca="false">IF($A84="","",-SUMIFS(MOVIMIENTOS!$E$4:$E$20000,MOVIMIENTOS!$B$4:$B$20000,$A84,MOVIMIENTOS!$I$4:$I$20000,"Seguros",MOVIMIENTOS!$H$4:$H$20000,"Gasto"))</f>
        <v/>
      </c>
      <c r="N84" s="35" t="str">
        <f aca="false">IF($A84="","",-SUMIFS(MOVIMIENTOS!$E$4:$E$20000,MOVIMIENTOS!$B$4:$B$20000,$A84,MOVIMIENTOS!$I$4:$I$20000,"Personal",MOVIMIENTOS!$H$4:$H$20000,"Gasto"))</f>
        <v/>
      </c>
      <c r="O84" s="35" t="str">
        <f aca="false">IF($A84="","",-SUMIFS(MOVIMIENTOS!$E$4:$E$20000,MOVIMIENTOS!$B$4:$B$20000,$A84,MOVIMIENTOS!$I$4:$I$20000,"Ocio",MOVIMIENTOS!$H$4:$H$20000,"Gasto"))</f>
        <v/>
      </c>
      <c r="P84" s="35" t="str">
        <f aca="false">IF($A84="","",-SUMIFS(MOVIMIENTOS!$E$4:$E$20000,MOVIMIENTOS!$B$4:$B$20000,$A84,MOVIMIENTOS!$I$4:$I$20000,"Viajes",MOVIMIENTOS!$H$4:$H$20000,"Gasto"))</f>
        <v/>
      </c>
      <c r="Q84" s="35" t="str">
        <f aca="false">IF($A84="","",-SUMIFS(MOVIMIENTOS!$E$4:$E$20000,MOVIMIENTOS!$B$4:$B$20000,$A84,MOVIMIENTOS!$I$4:$I$20000,"Efectivo",MOVIMIENTOS!$H$4:$H$20000,"Gasto"))</f>
        <v/>
      </c>
      <c r="R84" s="35" t="str">
        <f aca="false">IF($A84="","",-SUMIFS(MOVIMIENTOS!$E$4:$E$20000,MOVIMIENTOS!$B$4:$B$20000,$A84,MOVIMIENTOS!$I$4:$I$20000,"Otros",MOVIMIENTOS!$H$4:$H$20000,"Gasto"))</f>
        <v/>
      </c>
    </row>
    <row r="85" customFormat="false" ht="15" hidden="false" customHeight="false" outlineLevel="0" collapsed="false">
      <c r="A85" s="95" t="str">
        <f aca="false">IF('MIS DATOS'!A47="","",'MIS DATOS'!A47)</f>
        <v/>
      </c>
      <c r="B85" s="35" t="str">
        <f aca="false">IF($A85="","",'MIS DATOS'!B47)</f>
        <v/>
      </c>
      <c r="C85" s="35" t="str">
        <f aca="false">IF($A85="","",'MIS DATOS'!C47)</f>
        <v/>
      </c>
      <c r="D85" s="35" t="str">
        <f aca="false">IF($A85="","",'MIS DATOS'!D47)</f>
        <v/>
      </c>
      <c r="E85" s="35" t="str">
        <f aca="false">IF($A85="","",'MIS DATOS'!G47)</f>
        <v/>
      </c>
      <c r="F85" s="35" t="str">
        <f aca="false">IF($A85="","",'MIS DATOS'!H47)</f>
        <v/>
      </c>
      <c r="G85" s="35" t="str">
        <f aca="false">IF($A85="","",'MIS DATOS'!I47)</f>
        <v/>
      </c>
      <c r="H85" s="35" t="str">
        <f aca="false">IF($A85="","",'MIS DATOS'!N47)</f>
        <v/>
      </c>
      <c r="I85" s="35" t="str">
        <f aca="false">IF($A85="","",-SUMIFS(MOVIMIENTOS!$E$4:$E$20000,MOVIMIENTOS!$B$4:$B$20000,$A85,MOVIMIENTOS!$I$4:$I$20000,"Casa",MOVIMIENTOS!$H$4:$H$20000,"Gasto"))</f>
        <v/>
      </c>
      <c r="J85" s="35" t="str">
        <f aca="false">IF($A85="","",-SUMIFS(MOVIMIENTOS!$E$4:$E$20000,MOVIMIENTOS!$B$4:$B$20000,$A85,MOVIMIENTOS!$I$4:$I$20000,"Comida",MOVIMIENTOS!$H$4:$H$20000,"Gasto")+SUMIFS(FLEXIBLE!$B$4:$B$200,FLEXIBLE!$F$4:$F$200,$A85))</f>
        <v/>
      </c>
      <c r="K85" s="35" t="str">
        <f aca="false">IF($A85="","",-SUMIFS(MOVIMIENTOS!$E$4:$E$20000,MOVIMIENTOS!$B$4:$B$20000,$A85,MOVIMIENTOS!$I$4:$I$20000,"Transporte",MOVIMIENTOS!$H$4:$H$20000,"Gasto")+SUMIFS(FLEXIBLE!$C$4:$C$200,FLEXIBLE!$F$4:$F$200,$A85))</f>
        <v/>
      </c>
      <c r="L85" s="35" t="str">
        <f aca="false">IF($A85="","",-SUMIFS(MOVIMIENTOS!$E$4:$E$20000,MOVIMIENTOS!$B$4:$B$20000,$A85,MOVIMIENTOS!$I$4:$I$20000,"Salud",MOVIMIENTOS!$H$4:$H$20000,"Gasto"))</f>
        <v/>
      </c>
      <c r="M85" s="35" t="str">
        <f aca="false">IF($A85="","",-SUMIFS(MOVIMIENTOS!$E$4:$E$20000,MOVIMIENTOS!$B$4:$B$20000,$A85,MOVIMIENTOS!$I$4:$I$20000,"Seguros",MOVIMIENTOS!$H$4:$H$20000,"Gasto"))</f>
        <v/>
      </c>
      <c r="N85" s="35" t="str">
        <f aca="false">IF($A85="","",-SUMIFS(MOVIMIENTOS!$E$4:$E$20000,MOVIMIENTOS!$B$4:$B$20000,$A85,MOVIMIENTOS!$I$4:$I$20000,"Personal",MOVIMIENTOS!$H$4:$H$20000,"Gasto"))</f>
        <v/>
      </c>
      <c r="O85" s="35" t="str">
        <f aca="false">IF($A85="","",-SUMIFS(MOVIMIENTOS!$E$4:$E$20000,MOVIMIENTOS!$B$4:$B$20000,$A85,MOVIMIENTOS!$I$4:$I$20000,"Ocio",MOVIMIENTOS!$H$4:$H$20000,"Gasto"))</f>
        <v/>
      </c>
      <c r="P85" s="35" t="str">
        <f aca="false">IF($A85="","",-SUMIFS(MOVIMIENTOS!$E$4:$E$20000,MOVIMIENTOS!$B$4:$B$20000,$A85,MOVIMIENTOS!$I$4:$I$20000,"Viajes",MOVIMIENTOS!$H$4:$H$20000,"Gasto"))</f>
        <v/>
      </c>
      <c r="Q85" s="35" t="str">
        <f aca="false">IF($A85="","",-SUMIFS(MOVIMIENTOS!$E$4:$E$20000,MOVIMIENTOS!$B$4:$B$20000,$A85,MOVIMIENTOS!$I$4:$I$20000,"Efectivo",MOVIMIENTOS!$H$4:$H$20000,"Gasto"))</f>
        <v/>
      </c>
      <c r="R85" s="35" t="str">
        <f aca="false">IF($A85="","",-SUMIFS(MOVIMIENTOS!$E$4:$E$20000,MOVIMIENTOS!$B$4:$B$20000,$A85,MOVIMIENTOS!$I$4:$I$20000,"Otros",MOVIMIENTOS!$H$4:$H$20000,"Gasto"))</f>
        <v/>
      </c>
    </row>
    <row r="86" customFormat="false" ht="15" hidden="false" customHeight="false" outlineLevel="0" collapsed="false">
      <c r="A86" s="95" t="str">
        <f aca="false">IF('MIS DATOS'!A48="","",'MIS DATOS'!A48)</f>
        <v/>
      </c>
      <c r="B86" s="35" t="str">
        <f aca="false">IF($A86="","",'MIS DATOS'!B48)</f>
        <v/>
      </c>
      <c r="C86" s="35" t="str">
        <f aca="false">IF($A86="","",'MIS DATOS'!C48)</f>
        <v/>
      </c>
      <c r="D86" s="35" t="str">
        <f aca="false">IF($A86="","",'MIS DATOS'!D48)</f>
        <v/>
      </c>
      <c r="E86" s="35" t="str">
        <f aca="false">IF($A86="","",'MIS DATOS'!G48)</f>
        <v/>
      </c>
      <c r="F86" s="35" t="str">
        <f aca="false">IF($A86="","",'MIS DATOS'!H48)</f>
        <v/>
      </c>
      <c r="G86" s="35" t="str">
        <f aca="false">IF($A86="","",'MIS DATOS'!I48)</f>
        <v/>
      </c>
      <c r="H86" s="35" t="str">
        <f aca="false">IF($A86="","",'MIS DATOS'!N48)</f>
        <v/>
      </c>
      <c r="I86" s="35" t="str">
        <f aca="false">IF($A86="","",-SUMIFS(MOVIMIENTOS!$E$4:$E$20000,MOVIMIENTOS!$B$4:$B$20000,$A86,MOVIMIENTOS!$I$4:$I$20000,"Casa",MOVIMIENTOS!$H$4:$H$20000,"Gasto"))</f>
        <v/>
      </c>
      <c r="J86" s="35" t="str">
        <f aca="false">IF($A86="","",-SUMIFS(MOVIMIENTOS!$E$4:$E$20000,MOVIMIENTOS!$B$4:$B$20000,$A86,MOVIMIENTOS!$I$4:$I$20000,"Comida",MOVIMIENTOS!$H$4:$H$20000,"Gasto")+SUMIFS(FLEXIBLE!$B$4:$B$200,FLEXIBLE!$F$4:$F$200,$A86))</f>
        <v/>
      </c>
      <c r="K86" s="35" t="str">
        <f aca="false">IF($A86="","",-SUMIFS(MOVIMIENTOS!$E$4:$E$20000,MOVIMIENTOS!$B$4:$B$20000,$A86,MOVIMIENTOS!$I$4:$I$20000,"Transporte",MOVIMIENTOS!$H$4:$H$20000,"Gasto")+SUMIFS(FLEXIBLE!$C$4:$C$200,FLEXIBLE!$F$4:$F$200,$A86))</f>
        <v/>
      </c>
      <c r="L86" s="35" t="str">
        <f aca="false">IF($A86="","",-SUMIFS(MOVIMIENTOS!$E$4:$E$20000,MOVIMIENTOS!$B$4:$B$20000,$A86,MOVIMIENTOS!$I$4:$I$20000,"Salud",MOVIMIENTOS!$H$4:$H$20000,"Gasto"))</f>
        <v/>
      </c>
      <c r="M86" s="35" t="str">
        <f aca="false">IF($A86="","",-SUMIFS(MOVIMIENTOS!$E$4:$E$20000,MOVIMIENTOS!$B$4:$B$20000,$A86,MOVIMIENTOS!$I$4:$I$20000,"Seguros",MOVIMIENTOS!$H$4:$H$20000,"Gasto"))</f>
        <v/>
      </c>
      <c r="N86" s="35" t="str">
        <f aca="false">IF($A86="","",-SUMIFS(MOVIMIENTOS!$E$4:$E$20000,MOVIMIENTOS!$B$4:$B$20000,$A86,MOVIMIENTOS!$I$4:$I$20000,"Personal",MOVIMIENTOS!$H$4:$H$20000,"Gasto"))</f>
        <v/>
      </c>
      <c r="O86" s="35" t="str">
        <f aca="false">IF($A86="","",-SUMIFS(MOVIMIENTOS!$E$4:$E$20000,MOVIMIENTOS!$B$4:$B$20000,$A86,MOVIMIENTOS!$I$4:$I$20000,"Ocio",MOVIMIENTOS!$H$4:$H$20000,"Gasto"))</f>
        <v/>
      </c>
      <c r="P86" s="35" t="str">
        <f aca="false">IF($A86="","",-SUMIFS(MOVIMIENTOS!$E$4:$E$20000,MOVIMIENTOS!$B$4:$B$20000,$A86,MOVIMIENTOS!$I$4:$I$20000,"Viajes",MOVIMIENTOS!$H$4:$H$20000,"Gasto"))</f>
        <v/>
      </c>
      <c r="Q86" s="35" t="str">
        <f aca="false">IF($A86="","",-SUMIFS(MOVIMIENTOS!$E$4:$E$20000,MOVIMIENTOS!$B$4:$B$20000,$A86,MOVIMIENTOS!$I$4:$I$20000,"Efectivo",MOVIMIENTOS!$H$4:$H$20000,"Gasto"))</f>
        <v/>
      </c>
      <c r="R86" s="35" t="str">
        <f aca="false">IF($A86="","",-SUMIFS(MOVIMIENTOS!$E$4:$E$20000,MOVIMIENTOS!$B$4:$B$20000,$A86,MOVIMIENTOS!$I$4:$I$20000,"Otros",MOVIMIENTOS!$H$4:$H$20000,"Gasto"))</f>
        <v/>
      </c>
    </row>
    <row r="87" customFormat="false" ht="15" hidden="false" customHeight="false" outlineLevel="0" collapsed="false">
      <c r="A87" s="95" t="str">
        <f aca="false">IF('MIS DATOS'!A49="","",'MIS DATOS'!A49)</f>
        <v/>
      </c>
      <c r="B87" s="35" t="str">
        <f aca="false">IF($A87="","",'MIS DATOS'!B49)</f>
        <v/>
      </c>
      <c r="C87" s="35" t="str">
        <f aca="false">IF($A87="","",'MIS DATOS'!C49)</f>
        <v/>
      </c>
      <c r="D87" s="35" t="str">
        <f aca="false">IF($A87="","",'MIS DATOS'!D49)</f>
        <v/>
      </c>
      <c r="E87" s="35" t="str">
        <f aca="false">IF($A87="","",'MIS DATOS'!G49)</f>
        <v/>
      </c>
      <c r="F87" s="35" t="str">
        <f aca="false">IF($A87="","",'MIS DATOS'!H49)</f>
        <v/>
      </c>
      <c r="G87" s="35" t="str">
        <f aca="false">IF($A87="","",'MIS DATOS'!I49)</f>
        <v/>
      </c>
      <c r="H87" s="35" t="str">
        <f aca="false">IF($A87="","",'MIS DATOS'!N49)</f>
        <v/>
      </c>
      <c r="I87" s="35" t="str">
        <f aca="false">IF($A87="","",-SUMIFS(MOVIMIENTOS!$E$4:$E$20000,MOVIMIENTOS!$B$4:$B$20000,$A87,MOVIMIENTOS!$I$4:$I$20000,"Casa",MOVIMIENTOS!$H$4:$H$20000,"Gasto"))</f>
        <v/>
      </c>
      <c r="J87" s="35" t="str">
        <f aca="false">IF($A87="","",-SUMIFS(MOVIMIENTOS!$E$4:$E$20000,MOVIMIENTOS!$B$4:$B$20000,$A87,MOVIMIENTOS!$I$4:$I$20000,"Comida",MOVIMIENTOS!$H$4:$H$20000,"Gasto")+SUMIFS(FLEXIBLE!$B$4:$B$200,FLEXIBLE!$F$4:$F$200,$A87))</f>
        <v/>
      </c>
      <c r="K87" s="35" t="str">
        <f aca="false">IF($A87="","",-SUMIFS(MOVIMIENTOS!$E$4:$E$20000,MOVIMIENTOS!$B$4:$B$20000,$A87,MOVIMIENTOS!$I$4:$I$20000,"Transporte",MOVIMIENTOS!$H$4:$H$20000,"Gasto")+SUMIFS(FLEXIBLE!$C$4:$C$200,FLEXIBLE!$F$4:$F$200,$A87))</f>
        <v/>
      </c>
      <c r="L87" s="35" t="str">
        <f aca="false">IF($A87="","",-SUMIFS(MOVIMIENTOS!$E$4:$E$20000,MOVIMIENTOS!$B$4:$B$20000,$A87,MOVIMIENTOS!$I$4:$I$20000,"Salud",MOVIMIENTOS!$H$4:$H$20000,"Gasto"))</f>
        <v/>
      </c>
      <c r="M87" s="35" t="str">
        <f aca="false">IF($A87="","",-SUMIFS(MOVIMIENTOS!$E$4:$E$20000,MOVIMIENTOS!$B$4:$B$20000,$A87,MOVIMIENTOS!$I$4:$I$20000,"Seguros",MOVIMIENTOS!$H$4:$H$20000,"Gasto"))</f>
        <v/>
      </c>
      <c r="N87" s="35" t="str">
        <f aca="false">IF($A87="","",-SUMIFS(MOVIMIENTOS!$E$4:$E$20000,MOVIMIENTOS!$B$4:$B$20000,$A87,MOVIMIENTOS!$I$4:$I$20000,"Personal",MOVIMIENTOS!$H$4:$H$20000,"Gasto"))</f>
        <v/>
      </c>
      <c r="O87" s="35" t="str">
        <f aca="false">IF($A87="","",-SUMIFS(MOVIMIENTOS!$E$4:$E$20000,MOVIMIENTOS!$B$4:$B$20000,$A87,MOVIMIENTOS!$I$4:$I$20000,"Ocio",MOVIMIENTOS!$H$4:$H$20000,"Gasto"))</f>
        <v/>
      </c>
      <c r="P87" s="35" t="str">
        <f aca="false">IF($A87="","",-SUMIFS(MOVIMIENTOS!$E$4:$E$20000,MOVIMIENTOS!$B$4:$B$20000,$A87,MOVIMIENTOS!$I$4:$I$20000,"Viajes",MOVIMIENTOS!$H$4:$H$20000,"Gasto"))</f>
        <v/>
      </c>
      <c r="Q87" s="35" t="str">
        <f aca="false">IF($A87="","",-SUMIFS(MOVIMIENTOS!$E$4:$E$20000,MOVIMIENTOS!$B$4:$B$20000,$A87,MOVIMIENTOS!$I$4:$I$20000,"Efectivo",MOVIMIENTOS!$H$4:$H$20000,"Gasto"))</f>
        <v/>
      </c>
      <c r="R87" s="35" t="str">
        <f aca="false">IF($A87="","",-SUMIFS(MOVIMIENTOS!$E$4:$E$20000,MOVIMIENTOS!$B$4:$B$20000,$A87,MOVIMIENTOS!$I$4:$I$20000,"Otros",MOVIMIENTOS!$H$4:$H$20000,"Gasto"))</f>
        <v/>
      </c>
    </row>
    <row r="88" customFormat="false" ht="15" hidden="false" customHeight="false" outlineLevel="0" collapsed="false">
      <c r="A88" s="95" t="str">
        <f aca="false">IF('MIS DATOS'!A50="","",'MIS DATOS'!A50)</f>
        <v/>
      </c>
      <c r="B88" s="35" t="str">
        <f aca="false">IF($A88="","",'MIS DATOS'!B50)</f>
        <v/>
      </c>
      <c r="C88" s="35" t="str">
        <f aca="false">IF($A88="","",'MIS DATOS'!C50)</f>
        <v/>
      </c>
      <c r="D88" s="35" t="str">
        <f aca="false">IF($A88="","",'MIS DATOS'!D50)</f>
        <v/>
      </c>
      <c r="E88" s="35" t="str">
        <f aca="false">IF($A88="","",'MIS DATOS'!G50)</f>
        <v/>
      </c>
      <c r="F88" s="35" t="str">
        <f aca="false">IF($A88="","",'MIS DATOS'!H50)</f>
        <v/>
      </c>
      <c r="G88" s="35" t="str">
        <f aca="false">IF($A88="","",'MIS DATOS'!I50)</f>
        <v/>
      </c>
      <c r="H88" s="35" t="str">
        <f aca="false">IF($A88="","",'MIS DATOS'!N50)</f>
        <v/>
      </c>
      <c r="I88" s="35" t="str">
        <f aca="false">IF($A88="","",-SUMIFS(MOVIMIENTOS!$E$4:$E$20000,MOVIMIENTOS!$B$4:$B$20000,$A88,MOVIMIENTOS!$I$4:$I$20000,"Casa",MOVIMIENTOS!$H$4:$H$20000,"Gasto"))</f>
        <v/>
      </c>
      <c r="J88" s="35" t="str">
        <f aca="false">IF($A88="","",-SUMIFS(MOVIMIENTOS!$E$4:$E$20000,MOVIMIENTOS!$B$4:$B$20000,$A88,MOVIMIENTOS!$I$4:$I$20000,"Comida",MOVIMIENTOS!$H$4:$H$20000,"Gasto")+SUMIFS(FLEXIBLE!$B$4:$B$200,FLEXIBLE!$F$4:$F$200,$A88))</f>
        <v/>
      </c>
      <c r="K88" s="35" t="str">
        <f aca="false">IF($A88="","",-SUMIFS(MOVIMIENTOS!$E$4:$E$20000,MOVIMIENTOS!$B$4:$B$20000,$A88,MOVIMIENTOS!$I$4:$I$20000,"Transporte",MOVIMIENTOS!$H$4:$H$20000,"Gasto")+SUMIFS(FLEXIBLE!$C$4:$C$200,FLEXIBLE!$F$4:$F$200,$A88))</f>
        <v/>
      </c>
      <c r="L88" s="35" t="str">
        <f aca="false">IF($A88="","",-SUMIFS(MOVIMIENTOS!$E$4:$E$20000,MOVIMIENTOS!$B$4:$B$20000,$A88,MOVIMIENTOS!$I$4:$I$20000,"Salud",MOVIMIENTOS!$H$4:$H$20000,"Gasto"))</f>
        <v/>
      </c>
      <c r="M88" s="35" t="str">
        <f aca="false">IF($A88="","",-SUMIFS(MOVIMIENTOS!$E$4:$E$20000,MOVIMIENTOS!$B$4:$B$20000,$A88,MOVIMIENTOS!$I$4:$I$20000,"Seguros",MOVIMIENTOS!$H$4:$H$20000,"Gasto"))</f>
        <v/>
      </c>
      <c r="N88" s="35" t="str">
        <f aca="false">IF($A88="","",-SUMIFS(MOVIMIENTOS!$E$4:$E$20000,MOVIMIENTOS!$B$4:$B$20000,$A88,MOVIMIENTOS!$I$4:$I$20000,"Personal",MOVIMIENTOS!$H$4:$H$20000,"Gasto"))</f>
        <v/>
      </c>
      <c r="O88" s="35" t="str">
        <f aca="false">IF($A88="","",-SUMIFS(MOVIMIENTOS!$E$4:$E$20000,MOVIMIENTOS!$B$4:$B$20000,$A88,MOVIMIENTOS!$I$4:$I$20000,"Ocio",MOVIMIENTOS!$H$4:$H$20000,"Gasto"))</f>
        <v/>
      </c>
      <c r="P88" s="35" t="str">
        <f aca="false">IF($A88="","",-SUMIFS(MOVIMIENTOS!$E$4:$E$20000,MOVIMIENTOS!$B$4:$B$20000,$A88,MOVIMIENTOS!$I$4:$I$20000,"Viajes",MOVIMIENTOS!$H$4:$H$20000,"Gasto"))</f>
        <v/>
      </c>
      <c r="Q88" s="35" t="str">
        <f aca="false">IF($A88="","",-SUMIFS(MOVIMIENTOS!$E$4:$E$20000,MOVIMIENTOS!$B$4:$B$20000,$A88,MOVIMIENTOS!$I$4:$I$20000,"Efectivo",MOVIMIENTOS!$H$4:$H$20000,"Gasto"))</f>
        <v/>
      </c>
      <c r="R88" s="35" t="str">
        <f aca="false">IF($A88="","",-SUMIFS(MOVIMIENTOS!$E$4:$E$20000,MOVIMIENTOS!$B$4:$B$20000,$A88,MOVIMIENTOS!$I$4:$I$20000,"Otros",MOVIMIENTOS!$H$4:$H$20000,"Gasto"))</f>
        <v/>
      </c>
    </row>
    <row r="89" customFormat="false" ht="15" hidden="false" customHeight="false" outlineLevel="0" collapsed="false">
      <c r="A89" s="95" t="str">
        <f aca="false">IF('MIS DATOS'!A51="","",'MIS DATOS'!A51)</f>
        <v/>
      </c>
      <c r="B89" s="35" t="str">
        <f aca="false">IF($A89="","",'MIS DATOS'!B51)</f>
        <v/>
      </c>
      <c r="C89" s="35" t="str">
        <f aca="false">IF($A89="","",'MIS DATOS'!C51)</f>
        <v/>
      </c>
      <c r="D89" s="35" t="str">
        <f aca="false">IF($A89="","",'MIS DATOS'!D51)</f>
        <v/>
      </c>
      <c r="E89" s="35" t="str">
        <f aca="false">IF($A89="","",'MIS DATOS'!G51)</f>
        <v/>
      </c>
      <c r="F89" s="35" t="str">
        <f aca="false">IF($A89="","",'MIS DATOS'!H51)</f>
        <v/>
      </c>
      <c r="G89" s="35" t="str">
        <f aca="false">IF($A89="","",'MIS DATOS'!I51)</f>
        <v/>
      </c>
      <c r="H89" s="35" t="str">
        <f aca="false">IF($A89="","",'MIS DATOS'!N51)</f>
        <v/>
      </c>
      <c r="I89" s="35" t="str">
        <f aca="false">IF($A89="","",-SUMIFS(MOVIMIENTOS!$E$4:$E$20000,MOVIMIENTOS!$B$4:$B$20000,$A89,MOVIMIENTOS!$I$4:$I$20000,"Casa",MOVIMIENTOS!$H$4:$H$20000,"Gasto"))</f>
        <v/>
      </c>
      <c r="J89" s="35" t="str">
        <f aca="false">IF($A89="","",-SUMIFS(MOVIMIENTOS!$E$4:$E$20000,MOVIMIENTOS!$B$4:$B$20000,$A89,MOVIMIENTOS!$I$4:$I$20000,"Comida",MOVIMIENTOS!$H$4:$H$20000,"Gasto")+SUMIFS(FLEXIBLE!$B$4:$B$200,FLEXIBLE!$F$4:$F$200,$A89))</f>
        <v/>
      </c>
      <c r="K89" s="35" t="str">
        <f aca="false">IF($A89="","",-SUMIFS(MOVIMIENTOS!$E$4:$E$20000,MOVIMIENTOS!$B$4:$B$20000,$A89,MOVIMIENTOS!$I$4:$I$20000,"Transporte",MOVIMIENTOS!$H$4:$H$20000,"Gasto")+SUMIFS(FLEXIBLE!$C$4:$C$200,FLEXIBLE!$F$4:$F$200,$A89))</f>
        <v/>
      </c>
      <c r="L89" s="35" t="str">
        <f aca="false">IF($A89="","",-SUMIFS(MOVIMIENTOS!$E$4:$E$20000,MOVIMIENTOS!$B$4:$B$20000,$A89,MOVIMIENTOS!$I$4:$I$20000,"Salud",MOVIMIENTOS!$H$4:$H$20000,"Gasto"))</f>
        <v/>
      </c>
      <c r="M89" s="35" t="str">
        <f aca="false">IF($A89="","",-SUMIFS(MOVIMIENTOS!$E$4:$E$20000,MOVIMIENTOS!$B$4:$B$20000,$A89,MOVIMIENTOS!$I$4:$I$20000,"Seguros",MOVIMIENTOS!$H$4:$H$20000,"Gasto"))</f>
        <v/>
      </c>
      <c r="N89" s="35" t="str">
        <f aca="false">IF($A89="","",-SUMIFS(MOVIMIENTOS!$E$4:$E$20000,MOVIMIENTOS!$B$4:$B$20000,$A89,MOVIMIENTOS!$I$4:$I$20000,"Personal",MOVIMIENTOS!$H$4:$H$20000,"Gasto"))</f>
        <v/>
      </c>
      <c r="O89" s="35" t="str">
        <f aca="false">IF($A89="","",-SUMIFS(MOVIMIENTOS!$E$4:$E$20000,MOVIMIENTOS!$B$4:$B$20000,$A89,MOVIMIENTOS!$I$4:$I$20000,"Ocio",MOVIMIENTOS!$H$4:$H$20000,"Gasto"))</f>
        <v/>
      </c>
      <c r="P89" s="35" t="str">
        <f aca="false">IF($A89="","",-SUMIFS(MOVIMIENTOS!$E$4:$E$20000,MOVIMIENTOS!$B$4:$B$20000,$A89,MOVIMIENTOS!$I$4:$I$20000,"Viajes",MOVIMIENTOS!$H$4:$H$20000,"Gasto"))</f>
        <v/>
      </c>
      <c r="Q89" s="35" t="str">
        <f aca="false">IF($A89="","",-SUMIFS(MOVIMIENTOS!$E$4:$E$20000,MOVIMIENTOS!$B$4:$B$20000,$A89,MOVIMIENTOS!$I$4:$I$20000,"Efectivo",MOVIMIENTOS!$H$4:$H$20000,"Gasto"))</f>
        <v/>
      </c>
      <c r="R89" s="35" t="str">
        <f aca="false">IF($A89="","",-SUMIFS(MOVIMIENTOS!$E$4:$E$20000,MOVIMIENTOS!$B$4:$B$20000,$A89,MOVIMIENTOS!$I$4:$I$20000,"Otros",MOVIMIENTOS!$H$4:$H$20000,"Gasto"))</f>
        <v/>
      </c>
    </row>
    <row r="90" customFormat="false" ht="15" hidden="false" customHeight="false" outlineLevel="0" collapsed="false">
      <c r="A90" s="95" t="str">
        <f aca="false">IF('MIS DATOS'!A52="","",'MIS DATOS'!A52)</f>
        <v/>
      </c>
      <c r="B90" s="35" t="str">
        <f aca="false">IF($A90="","",'MIS DATOS'!B52)</f>
        <v/>
      </c>
      <c r="C90" s="35" t="str">
        <f aca="false">IF($A90="","",'MIS DATOS'!C52)</f>
        <v/>
      </c>
      <c r="D90" s="35" t="str">
        <f aca="false">IF($A90="","",'MIS DATOS'!D52)</f>
        <v/>
      </c>
      <c r="E90" s="35" t="str">
        <f aca="false">IF($A90="","",'MIS DATOS'!G52)</f>
        <v/>
      </c>
      <c r="F90" s="35" t="str">
        <f aca="false">IF($A90="","",'MIS DATOS'!H52)</f>
        <v/>
      </c>
      <c r="G90" s="35" t="str">
        <f aca="false">IF($A90="","",'MIS DATOS'!I52)</f>
        <v/>
      </c>
      <c r="H90" s="35" t="str">
        <f aca="false">IF($A90="","",'MIS DATOS'!N52)</f>
        <v/>
      </c>
      <c r="I90" s="35" t="str">
        <f aca="false">IF($A90="","",-SUMIFS(MOVIMIENTOS!$E$4:$E$20000,MOVIMIENTOS!$B$4:$B$20000,$A90,MOVIMIENTOS!$I$4:$I$20000,"Casa",MOVIMIENTOS!$H$4:$H$20000,"Gasto"))</f>
        <v/>
      </c>
      <c r="J90" s="35" t="str">
        <f aca="false">IF($A90="","",-SUMIFS(MOVIMIENTOS!$E$4:$E$20000,MOVIMIENTOS!$B$4:$B$20000,$A90,MOVIMIENTOS!$I$4:$I$20000,"Comida",MOVIMIENTOS!$H$4:$H$20000,"Gasto")+SUMIFS(FLEXIBLE!$B$4:$B$200,FLEXIBLE!$F$4:$F$200,$A90))</f>
        <v/>
      </c>
      <c r="K90" s="35" t="str">
        <f aca="false">IF($A90="","",-SUMIFS(MOVIMIENTOS!$E$4:$E$20000,MOVIMIENTOS!$B$4:$B$20000,$A90,MOVIMIENTOS!$I$4:$I$20000,"Transporte",MOVIMIENTOS!$H$4:$H$20000,"Gasto")+SUMIFS(FLEXIBLE!$C$4:$C$200,FLEXIBLE!$F$4:$F$200,$A90))</f>
        <v/>
      </c>
      <c r="L90" s="35" t="str">
        <f aca="false">IF($A90="","",-SUMIFS(MOVIMIENTOS!$E$4:$E$20000,MOVIMIENTOS!$B$4:$B$20000,$A90,MOVIMIENTOS!$I$4:$I$20000,"Salud",MOVIMIENTOS!$H$4:$H$20000,"Gasto"))</f>
        <v/>
      </c>
      <c r="M90" s="35" t="str">
        <f aca="false">IF($A90="","",-SUMIFS(MOVIMIENTOS!$E$4:$E$20000,MOVIMIENTOS!$B$4:$B$20000,$A90,MOVIMIENTOS!$I$4:$I$20000,"Seguros",MOVIMIENTOS!$H$4:$H$20000,"Gasto"))</f>
        <v/>
      </c>
      <c r="N90" s="35" t="str">
        <f aca="false">IF($A90="","",-SUMIFS(MOVIMIENTOS!$E$4:$E$20000,MOVIMIENTOS!$B$4:$B$20000,$A90,MOVIMIENTOS!$I$4:$I$20000,"Personal",MOVIMIENTOS!$H$4:$H$20000,"Gasto"))</f>
        <v/>
      </c>
      <c r="O90" s="35" t="str">
        <f aca="false">IF($A90="","",-SUMIFS(MOVIMIENTOS!$E$4:$E$20000,MOVIMIENTOS!$B$4:$B$20000,$A90,MOVIMIENTOS!$I$4:$I$20000,"Ocio",MOVIMIENTOS!$H$4:$H$20000,"Gasto"))</f>
        <v/>
      </c>
      <c r="P90" s="35" t="str">
        <f aca="false">IF($A90="","",-SUMIFS(MOVIMIENTOS!$E$4:$E$20000,MOVIMIENTOS!$B$4:$B$20000,$A90,MOVIMIENTOS!$I$4:$I$20000,"Viajes",MOVIMIENTOS!$H$4:$H$20000,"Gasto"))</f>
        <v/>
      </c>
      <c r="Q90" s="35" t="str">
        <f aca="false">IF($A90="","",-SUMIFS(MOVIMIENTOS!$E$4:$E$20000,MOVIMIENTOS!$B$4:$B$20000,$A90,MOVIMIENTOS!$I$4:$I$20000,"Efectivo",MOVIMIENTOS!$H$4:$H$20000,"Gasto"))</f>
        <v/>
      </c>
      <c r="R90" s="35" t="str">
        <f aca="false">IF($A90="","",-SUMIFS(MOVIMIENTOS!$E$4:$E$20000,MOVIMIENTOS!$B$4:$B$20000,$A90,MOVIMIENTOS!$I$4:$I$20000,"Otros",MOVIMIENTOS!$H$4:$H$20000,"Gasto"))</f>
        <v/>
      </c>
    </row>
    <row r="91" customFormat="false" ht="15" hidden="false" customHeight="false" outlineLevel="0" collapsed="false">
      <c r="A91" s="95" t="str">
        <f aca="false">IF('MIS DATOS'!A53="","",'MIS DATOS'!A53)</f>
        <v/>
      </c>
      <c r="B91" s="35" t="str">
        <f aca="false">IF($A91="","",'MIS DATOS'!B53)</f>
        <v/>
      </c>
      <c r="C91" s="35" t="str">
        <f aca="false">IF($A91="","",'MIS DATOS'!C53)</f>
        <v/>
      </c>
      <c r="D91" s="35" t="str">
        <f aca="false">IF($A91="","",'MIS DATOS'!D53)</f>
        <v/>
      </c>
      <c r="E91" s="35" t="str">
        <f aca="false">IF($A91="","",'MIS DATOS'!G53)</f>
        <v/>
      </c>
      <c r="F91" s="35" t="str">
        <f aca="false">IF($A91="","",'MIS DATOS'!H53)</f>
        <v/>
      </c>
      <c r="G91" s="35" t="str">
        <f aca="false">IF($A91="","",'MIS DATOS'!I53)</f>
        <v/>
      </c>
      <c r="H91" s="35" t="str">
        <f aca="false">IF($A91="","",'MIS DATOS'!N53)</f>
        <v/>
      </c>
      <c r="I91" s="35" t="str">
        <f aca="false">IF($A91="","",-SUMIFS(MOVIMIENTOS!$E$4:$E$20000,MOVIMIENTOS!$B$4:$B$20000,$A91,MOVIMIENTOS!$I$4:$I$20000,"Casa",MOVIMIENTOS!$H$4:$H$20000,"Gasto"))</f>
        <v/>
      </c>
      <c r="J91" s="35" t="str">
        <f aca="false">IF($A91="","",-SUMIFS(MOVIMIENTOS!$E$4:$E$20000,MOVIMIENTOS!$B$4:$B$20000,$A91,MOVIMIENTOS!$I$4:$I$20000,"Comida",MOVIMIENTOS!$H$4:$H$20000,"Gasto")+SUMIFS(FLEXIBLE!$B$4:$B$200,FLEXIBLE!$F$4:$F$200,$A91))</f>
        <v/>
      </c>
      <c r="K91" s="35" t="str">
        <f aca="false">IF($A91="","",-SUMIFS(MOVIMIENTOS!$E$4:$E$20000,MOVIMIENTOS!$B$4:$B$20000,$A91,MOVIMIENTOS!$I$4:$I$20000,"Transporte",MOVIMIENTOS!$H$4:$H$20000,"Gasto")+SUMIFS(FLEXIBLE!$C$4:$C$200,FLEXIBLE!$F$4:$F$200,$A91))</f>
        <v/>
      </c>
      <c r="L91" s="35" t="str">
        <f aca="false">IF($A91="","",-SUMIFS(MOVIMIENTOS!$E$4:$E$20000,MOVIMIENTOS!$B$4:$B$20000,$A91,MOVIMIENTOS!$I$4:$I$20000,"Salud",MOVIMIENTOS!$H$4:$H$20000,"Gasto"))</f>
        <v/>
      </c>
      <c r="M91" s="35" t="str">
        <f aca="false">IF($A91="","",-SUMIFS(MOVIMIENTOS!$E$4:$E$20000,MOVIMIENTOS!$B$4:$B$20000,$A91,MOVIMIENTOS!$I$4:$I$20000,"Seguros",MOVIMIENTOS!$H$4:$H$20000,"Gasto"))</f>
        <v/>
      </c>
      <c r="N91" s="35" t="str">
        <f aca="false">IF($A91="","",-SUMIFS(MOVIMIENTOS!$E$4:$E$20000,MOVIMIENTOS!$B$4:$B$20000,$A91,MOVIMIENTOS!$I$4:$I$20000,"Personal",MOVIMIENTOS!$H$4:$H$20000,"Gasto"))</f>
        <v/>
      </c>
      <c r="O91" s="35" t="str">
        <f aca="false">IF($A91="","",-SUMIFS(MOVIMIENTOS!$E$4:$E$20000,MOVIMIENTOS!$B$4:$B$20000,$A91,MOVIMIENTOS!$I$4:$I$20000,"Ocio",MOVIMIENTOS!$H$4:$H$20000,"Gasto"))</f>
        <v/>
      </c>
      <c r="P91" s="35" t="str">
        <f aca="false">IF($A91="","",-SUMIFS(MOVIMIENTOS!$E$4:$E$20000,MOVIMIENTOS!$B$4:$B$20000,$A91,MOVIMIENTOS!$I$4:$I$20000,"Viajes",MOVIMIENTOS!$H$4:$H$20000,"Gasto"))</f>
        <v/>
      </c>
      <c r="Q91" s="35" t="str">
        <f aca="false">IF($A91="","",-SUMIFS(MOVIMIENTOS!$E$4:$E$20000,MOVIMIENTOS!$B$4:$B$20000,$A91,MOVIMIENTOS!$I$4:$I$20000,"Efectivo",MOVIMIENTOS!$H$4:$H$20000,"Gasto"))</f>
        <v/>
      </c>
      <c r="R91" s="35" t="str">
        <f aca="false">IF($A91="","",-SUMIFS(MOVIMIENTOS!$E$4:$E$20000,MOVIMIENTOS!$B$4:$B$20000,$A91,MOVIMIENTOS!$I$4:$I$20000,"Otros",MOVIMIENTOS!$H$4:$H$20000,"Gasto"))</f>
        <v/>
      </c>
    </row>
    <row r="92" customFormat="false" ht="15" hidden="false" customHeight="false" outlineLevel="0" collapsed="false">
      <c r="A92" s="95" t="str">
        <f aca="false">IF('MIS DATOS'!A54="","",'MIS DATOS'!A54)</f>
        <v/>
      </c>
      <c r="B92" s="35" t="str">
        <f aca="false">IF($A92="","",'MIS DATOS'!B54)</f>
        <v/>
      </c>
      <c r="C92" s="35" t="str">
        <f aca="false">IF($A92="","",'MIS DATOS'!C54)</f>
        <v/>
      </c>
      <c r="D92" s="35" t="str">
        <f aca="false">IF($A92="","",'MIS DATOS'!D54)</f>
        <v/>
      </c>
      <c r="E92" s="35" t="str">
        <f aca="false">IF($A92="","",'MIS DATOS'!G54)</f>
        <v/>
      </c>
      <c r="F92" s="35" t="str">
        <f aca="false">IF($A92="","",'MIS DATOS'!H54)</f>
        <v/>
      </c>
      <c r="G92" s="35" t="str">
        <f aca="false">IF($A92="","",'MIS DATOS'!I54)</f>
        <v/>
      </c>
      <c r="H92" s="35" t="str">
        <f aca="false">IF($A92="","",'MIS DATOS'!N54)</f>
        <v/>
      </c>
      <c r="I92" s="35" t="str">
        <f aca="false">IF($A92="","",-SUMIFS(MOVIMIENTOS!$E$4:$E$20000,MOVIMIENTOS!$B$4:$B$20000,$A92,MOVIMIENTOS!$I$4:$I$20000,"Casa",MOVIMIENTOS!$H$4:$H$20000,"Gasto"))</f>
        <v/>
      </c>
      <c r="J92" s="35" t="str">
        <f aca="false">IF($A92="","",-SUMIFS(MOVIMIENTOS!$E$4:$E$20000,MOVIMIENTOS!$B$4:$B$20000,$A92,MOVIMIENTOS!$I$4:$I$20000,"Comida",MOVIMIENTOS!$H$4:$H$20000,"Gasto")+SUMIFS(FLEXIBLE!$B$4:$B$200,FLEXIBLE!$F$4:$F$200,$A92))</f>
        <v/>
      </c>
      <c r="K92" s="35" t="str">
        <f aca="false">IF($A92="","",-SUMIFS(MOVIMIENTOS!$E$4:$E$20000,MOVIMIENTOS!$B$4:$B$20000,$A92,MOVIMIENTOS!$I$4:$I$20000,"Transporte",MOVIMIENTOS!$H$4:$H$20000,"Gasto")+SUMIFS(FLEXIBLE!$C$4:$C$200,FLEXIBLE!$F$4:$F$200,$A92))</f>
        <v/>
      </c>
      <c r="L92" s="35" t="str">
        <f aca="false">IF($A92="","",-SUMIFS(MOVIMIENTOS!$E$4:$E$20000,MOVIMIENTOS!$B$4:$B$20000,$A92,MOVIMIENTOS!$I$4:$I$20000,"Salud",MOVIMIENTOS!$H$4:$H$20000,"Gasto"))</f>
        <v/>
      </c>
      <c r="M92" s="35" t="str">
        <f aca="false">IF($A92="","",-SUMIFS(MOVIMIENTOS!$E$4:$E$20000,MOVIMIENTOS!$B$4:$B$20000,$A92,MOVIMIENTOS!$I$4:$I$20000,"Seguros",MOVIMIENTOS!$H$4:$H$20000,"Gasto"))</f>
        <v/>
      </c>
      <c r="N92" s="35" t="str">
        <f aca="false">IF($A92="","",-SUMIFS(MOVIMIENTOS!$E$4:$E$20000,MOVIMIENTOS!$B$4:$B$20000,$A92,MOVIMIENTOS!$I$4:$I$20000,"Personal",MOVIMIENTOS!$H$4:$H$20000,"Gasto"))</f>
        <v/>
      </c>
      <c r="O92" s="35" t="str">
        <f aca="false">IF($A92="","",-SUMIFS(MOVIMIENTOS!$E$4:$E$20000,MOVIMIENTOS!$B$4:$B$20000,$A92,MOVIMIENTOS!$I$4:$I$20000,"Ocio",MOVIMIENTOS!$H$4:$H$20000,"Gasto"))</f>
        <v/>
      </c>
      <c r="P92" s="35" t="str">
        <f aca="false">IF($A92="","",-SUMIFS(MOVIMIENTOS!$E$4:$E$20000,MOVIMIENTOS!$B$4:$B$20000,$A92,MOVIMIENTOS!$I$4:$I$20000,"Viajes",MOVIMIENTOS!$H$4:$H$20000,"Gasto"))</f>
        <v/>
      </c>
      <c r="Q92" s="35" t="str">
        <f aca="false">IF($A92="","",-SUMIFS(MOVIMIENTOS!$E$4:$E$20000,MOVIMIENTOS!$B$4:$B$20000,$A92,MOVIMIENTOS!$I$4:$I$20000,"Efectivo",MOVIMIENTOS!$H$4:$H$20000,"Gasto"))</f>
        <v/>
      </c>
      <c r="R92" s="35" t="str">
        <f aca="false">IF($A92="","",-SUMIFS(MOVIMIENTOS!$E$4:$E$20000,MOVIMIENTOS!$B$4:$B$20000,$A92,MOVIMIENTOS!$I$4:$I$20000,"Otros",MOVIMIENTOS!$H$4:$H$20000,"Gasto"))</f>
        <v/>
      </c>
    </row>
    <row r="93" customFormat="false" ht="15" hidden="false" customHeight="false" outlineLevel="0" collapsed="false">
      <c r="A93" s="95" t="str">
        <f aca="false">IF('MIS DATOS'!A55="","",'MIS DATOS'!A55)</f>
        <v/>
      </c>
      <c r="B93" s="35" t="str">
        <f aca="false">IF($A93="","",'MIS DATOS'!B55)</f>
        <v/>
      </c>
      <c r="C93" s="35" t="str">
        <f aca="false">IF($A93="","",'MIS DATOS'!C55)</f>
        <v/>
      </c>
      <c r="D93" s="35" t="str">
        <f aca="false">IF($A93="","",'MIS DATOS'!D55)</f>
        <v/>
      </c>
      <c r="E93" s="35" t="str">
        <f aca="false">IF($A93="","",'MIS DATOS'!G55)</f>
        <v/>
      </c>
      <c r="F93" s="35" t="str">
        <f aca="false">IF($A93="","",'MIS DATOS'!H55)</f>
        <v/>
      </c>
      <c r="G93" s="35" t="str">
        <f aca="false">IF($A93="","",'MIS DATOS'!I55)</f>
        <v/>
      </c>
      <c r="H93" s="35" t="str">
        <f aca="false">IF($A93="","",'MIS DATOS'!N55)</f>
        <v/>
      </c>
      <c r="I93" s="35" t="str">
        <f aca="false">IF($A93="","",-SUMIFS(MOVIMIENTOS!$E$4:$E$20000,MOVIMIENTOS!$B$4:$B$20000,$A93,MOVIMIENTOS!$I$4:$I$20000,"Casa",MOVIMIENTOS!$H$4:$H$20000,"Gasto"))</f>
        <v/>
      </c>
      <c r="J93" s="35" t="str">
        <f aca="false">IF($A93="","",-SUMIFS(MOVIMIENTOS!$E$4:$E$20000,MOVIMIENTOS!$B$4:$B$20000,$A93,MOVIMIENTOS!$I$4:$I$20000,"Comida",MOVIMIENTOS!$H$4:$H$20000,"Gasto")+SUMIFS(FLEXIBLE!$B$4:$B$200,FLEXIBLE!$F$4:$F$200,$A93))</f>
        <v/>
      </c>
      <c r="K93" s="35" t="str">
        <f aca="false">IF($A93="","",-SUMIFS(MOVIMIENTOS!$E$4:$E$20000,MOVIMIENTOS!$B$4:$B$20000,$A93,MOVIMIENTOS!$I$4:$I$20000,"Transporte",MOVIMIENTOS!$H$4:$H$20000,"Gasto")+SUMIFS(FLEXIBLE!$C$4:$C$200,FLEXIBLE!$F$4:$F$200,$A93))</f>
        <v/>
      </c>
      <c r="L93" s="35" t="str">
        <f aca="false">IF($A93="","",-SUMIFS(MOVIMIENTOS!$E$4:$E$20000,MOVIMIENTOS!$B$4:$B$20000,$A93,MOVIMIENTOS!$I$4:$I$20000,"Salud",MOVIMIENTOS!$H$4:$H$20000,"Gasto"))</f>
        <v/>
      </c>
      <c r="M93" s="35" t="str">
        <f aca="false">IF($A93="","",-SUMIFS(MOVIMIENTOS!$E$4:$E$20000,MOVIMIENTOS!$B$4:$B$20000,$A93,MOVIMIENTOS!$I$4:$I$20000,"Seguros",MOVIMIENTOS!$H$4:$H$20000,"Gasto"))</f>
        <v/>
      </c>
      <c r="N93" s="35" t="str">
        <f aca="false">IF($A93="","",-SUMIFS(MOVIMIENTOS!$E$4:$E$20000,MOVIMIENTOS!$B$4:$B$20000,$A93,MOVIMIENTOS!$I$4:$I$20000,"Personal",MOVIMIENTOS!$H$4:$H$20000,"Gasto"))</f>
        <v/>
      </c>
      <c r="O93" s="35" t="str">
        <f aca="false">IF($A93="","",-SUMIFS(MOVIMIENTOS!$E$4:$E$20000,MOVIMIENTOS!$B$4:$B$20000,$A93,MOVIMIENTOS!$I$4:$I$20000,"Ocio",MOVIMIENTOS!$H$4:$H$20000,"Gasto"))</f>
        <v/>
      </c>
      <c r="P93" s="35" t="str">
        <f aca="false">IF($A93="","",-SUMIFS(MOVIMIENTOS!$E$4:$E$20000,MOVIMIENTOS!$B$4:$B$20000,$A93,MOVIMIENTOS!$I$4:$I$20000,"Viajes",MOVIMIENTOS!$H$4:$H$20000,"Gasto"))</f>
        <v/>
      </c>
      <c r="Q93" s="35" t="str">
        <f aca="false">IF($A93="","",-SUMIFS(MOVIMIENTOS!$E$4:$E$20000,MOVIMIENTOS!$B$4:$B$20000,$A93,MOVIMIENTOS!$I$4:$I$20000,"Efectivo",MOVIMIENTOS!$H$4:$H$20000,"Gasto"))</f>
        <v/>
      </c>
      <c r="R93" s="35" t="str">
        <f aca="false">IF($A93="","",-SUMIFS(MOVIMIENTOS!$E$4:$E$20000,MOVIMIENTOS!$B$4:$B$20000,$A93,MOVIMIENTOS!$I$4:$I$20000,"Otros",MOVIMIENTOS!$H$4:$H$20000,"Gasto"))</f>
        <v/>
      </c>
    </row>
    <row r="94" customFormat="false" ht="15" hidden="false" customHeight="false" outlineLevel="0" collapsed="false">
      <c r="A94" s="95" t="str">
        <f aca="false">IF('MIS DATOS'!A56="","",'MIS DATOS'!A56)</f>
        <v/>
      </c>
      <c r="B94" s="35" t="str">
        <f aca="false">IF($A94="","",'MIS DATOS'!B56)</f>
        <v/>
      </c>
      <c r="C94" s="35" t="str">
        <f aca="false">IF($A94="","",'MIS DATOS'!C56)</f>
        <v/>
      </c>
      <c r="D94" s="35" t="str">
        <f aca="false">IF($A94="","",'MIS DATOS'!D56)</f>
        <v/>
      </c>
      <c r="E94" s="35" t="str">
        <f aca="false">IF($A94="","",'MIS DATOS'!G56)</f>
        <v/>
      </c>
      <c r="F94" s="35" t="str">
        <f aca="false">IF($A94="","",'MIS DATOS'!H56)</f>
        <v/>
      </c>
      <c r="G94" s="35" t="str">
        <f aca="false">IF($A94="","",'MIS DATOS'!I56)</f>
        <v/>
      </c>
      <c r="H94" s="35" t="str">
        <f aca="false">IF($A94="","",'MIS DATOS'!N56)</f>
        <v/>
      </c>
      <c r="I94" s="35" t="str">
        <f aca="false">IF($A94="","",-SUMIFS(MOVIMIENTOS!$E$4:$E$20000,MOVIMIENTOS!$B$4:$B$20000,$A94,MOVIMIENTOS!$I$4:$I$20000,"Casa",MOVIMIENTOS!$H$4:$H$20000,"Gasto"))</f>
        <v/>
      </c>
      <c r="J94" s="35" t="str">
        <f aca="false">IF($A94="","",-SUMIFS(MOVIMIENTOS!$E$4:$E$20000,MOVIMIENTOS!$B$4:$B$20000,$A94,MOVIMIENTOS!$I$4:$I$20000,"Comida",MOVIMIENTOS!$H$4:$H$20000,"Gasto")+SUMIFS(FLEXIBLE!$B$4:$B$200,FLEXIBLE!$F$4:$F$200,$A94))</f>
        <v/>
      </c>
      <c r="K94" s="35" t="str">
        <f aca="false">IF($A94="","",-SUMIFS(MOVIMIENTOS!$E$4:$E$20000,MOVIMIENTOS!$B$4:$B$20000,$A94,MOVIMIENTOS!$I$4:$I$20000,"Transporte",MOVIMIENTOS!$H$4:$H$20000,"Gasto")+SUMIFS(FLEXIBLE!$C$4:$C$200,FLEXIBLE!$F$4:$F$200,$A94))</f>
        <v/>
      </c>
      <c r="L94" s="35" t="str">
        <f aca="false">IF($A94="","",-SUMIFS(MOVIMIENTOS!$E$4:$E$20000,MOVIMIENTOS!$B$4:$B$20000,$A94,MOVIMIENTOS!$I$4:$I$20000,"Salud",MOVIMIENTOS!$H$4:$H$20000,"Gasto"))</f>
        <v/>
      </c>
      <c r="M94" s="35" t="str">
        <f aca="false">IF($A94="","",-SUMIFS(MOVIMIENTOS!$E$4:$E$20000,MOVIMIENTOS!$B$4:$B$20000,$A94,MOVIMIENTOS!$I$4:$I$20000,"Seguros",MOVIMIENTOS!$H$4:$H$20000,"Gasto"))</f>
        <v/>
      </c>
      <c r="N94" s="35" t="str">
        <f aca="false">IF($A94="","",-SUMIFS(MOVIMIENTOS!$E$4:$E$20000,MOVIMIENTOS!$B$4:$B$20000,$A94,MOVIMIENTOS!$I$4:$I$20000,"Personal",MOVIMIENTOS!$H$4:$H$20000,"Gasto"))</f>
        <v/>
      </c>
      <c r="O94" s="35" t="str">
        <f aca="false">IF($A94="","",-SUMIFS(MOVIMIENTOS!$E$4:$E$20000,MOVIMIENTOS!$B$4:$B$20000,$A94,MOVIMIENTOS!$I$4:$I$20000,"Ocio",MOVIMIENTOS!$H$4:$H$20000,"Gasto"))</f>
        <v/>
      </c>
      <c r="P94" s="35" t="str">
        <f aca="false">IF($A94="","",-SUMIFS(MOVIMIENTOS!$E$4:$E$20000,MOVIMIENTOS!$B$4:$B$20000,$A94,MOVIMIENTOS!$I$4:$I$20000,"Viajes",MOVIMIENTOS!$H$4:$H$20000,"Gasto"))</f>
        <v/>
      </c>
      <c r="Q94" s="35" t="str">
        <f aca="false">IF($A94="","",-SUMIFS(MOVIMIENTOS!$E$4:$E$20000,MOVIMIENTOS!$B$4:$B$20000,$A94,MOVIMIENTOS!$I$4:$I$20000,"Efectivo",MOVIMIENTOS!$H$4:$H$20000,"Gasto"))</f>
        <v/>
      </c>
      <c r="R94" s="35" t="str">
        <f aca="false">IF($A94="","",-SUMIFS(MOVIMIENTOS!$E$4:$E$20000,MOVIMIENTOS!$B$4:$B$20000,$A94,MOVIMIENTOS!$I$4:$I$20000,"Otros",MOVIMIENTOS!$H$4:$H$20000,"Gasto"))</f>
        <v/>
      </c>
    </row>
    <row r="95" customFormat="false" ht="15" hidden="false" customHeight="false" outlineLevel="0" collapsed="false">
      <c r="A95" s="95" t="str">
        <f aca="false">IF('MIS DATOS'!A57="","",'MIS DATOS'!A57)</f>
        <v/>
      </c>
      <c r="B95" s="35" t="str">
        <f aca="false">IF($A95="","",'MIS DATOS'!B57)</f>
        <v/>
      </c>
      <c r="C95" s="35" t="str">
        <f aca="false">IF($A95="","",'MIS DATOS'!C57)</f>
        <v/>
      </c>
      <c r="D95" s="35" t="str">
        <f aca="false">IF($A95="","",'MIS DATOS'!D57)</f>
        <v/>
      </c>
      <c r="E95" s="35" t="str">
        <f aca="false">IF($A95="","",'MIS DATOS'!G57)</f>
        <v/>
      </c>
      <c r="F95" s="35" t="str">
        <f aca="false">IF($A95="","",'MIS DATOS'!H57)</f>
        <v/>
      </c>
      <c r="G95" s="35" t="str">
        <f aca="false">IF($A95="","",'MIS DATOS'!I57)</f>
        <v/>
      </c>
      <c r="H95" s="35" t="str">
        <f aca="false">IF($A95="","",'MIS DATOS'!N57)</f>
        <v/>
      </c>
      <c r="I95" s="35" t="str">
        <f aca="false">IF($A95="","",-SUMIFS(MOVIMIENTOS!$E$4:$E$20000,MOVIMIENTOS!$B$4:$B$20000,$A95,MOVIMIENTOS!$I$4:$I$20000,"Casa",MOVIMIENTOS!$H$4:$H$20000,"Gasto"))</f>
        <v/>
      </c>
      <c r="J95" s="35" t="str">
        <f aca="false">IF($A95="","",-SUMIFS(MOVIMIENTOS!$E$4:$E$20000,MOVIMIENTOS!$B$4:$B$20000,$A95,MOVIMIENTOS!$I$4:$I$20000,"Comida",MOVIMIENTOS!$H$4:$H$20000,"Gasto")+SUMIFS(FLEXIBLE!$B$4:$B$200,FLEXIBLE!$F$4:$F$200,$A95))</f>
        <v/>
      </c>
      <c r="K95" s="35" t="str">
        <f aca="false">IF($A95="","",-SUMIFS(MOVIMIENTOS!$E$4:$E$20000,MOVIMIENTOS!$B$4:$B$20000,$A95,MOVIMIENTOS!$I$4:$I$20000,"Transporte",MOVIMIENTOS!$H$4:$H$20000,"Gasto")+SUMIFS(FLEXIBLE!$C$4:$C$200,FLEXIBLE!$F$4:$F$200,$A95))</f>
        <v/>
      </c>
      <c r="L95" s="35" t="str">
        <f aca="false">IF($A95="","",-SUMIFS(MOVIMIENTOS!$E$4:$E$20000,MOVIMIENTOS!$B$4:$B$20000,$A95,MOVIMIENTOS!$I$4:$I$20000,"Salud",MOVIMIENTOS!$H$4:$H$20000,"Gasto"))</f>
        <v/>
      </c>
      <c r="M95" s="35" t="str">
        <f aca="false">IF($A95="","",-SUMIFS(MOVIMIENTOS!$E$4:$E$20000,MOVIMIENTOS!$B$4:$B$20000,$A95,MOVIMIENTOS!$I$4:$I$20000,"Seguros",MOVIMIENTOS!$H$4:$H$20000,"Gasto"))</f>
        <v/>
      </c>
      <c r="N95" s="35" t="str">
        <f aca="false">IF($A95="","",-SUMIFS(MOVIMIENTOS!$E$4:$E$20000,MOVIMIENTOS!$B$4:$B$20000,$A95,MOVIMIENTOS!$I$4:$I$20000,"Personal",MOVIMIENTOS!$H$4:$H$20000,"Gasto"))</f>
        <v/>
      </c>
      <c r="O95" s="35" t="str">
        <f aca="false">IF($A95="","",-SUMIFS(MOVIMIENTOS!$E$4:$E$20000,MOVIMIENTOS!$B$4:$B$20000,$A95,MOVIMIENTOS!$I$4:$I$20000,"Ocio",MOVIMIENTOS!$H$4:$H$20000,"Gasto"))</f>
        <v/>
      </c>
      <c r="P95" s="35" t="str">
        <f aca="false">IF($A95="","",-SUMIFS(MOVIMIENTOS!$E$4:$E$20000,MOVIMIENTOS!$B$4:$B$20000,$A95,MOVIMIENTOS!$I$4:$I$20000,"Viajes",MOVIMIENTOS!$H$4:$H$20000,"Gasto"))</f>
        <v/>
      </c>
      <c r="Q95" s="35" t="str">
        <f aca="false">IF($A95="","",-SUMIFS(MOVIMIENTOS!$E$4:$E$20000,MOVIMIENTOS!$B$4:$B$20000,$A95,MOVIMIENTOS!$I$4:$I$20000,"Efectivo",MOVIMIENTOS!$H$4:$H$20000,"Gasto"))</f>
        <v/>
      </c>
      <c r="R95" s="35" t="str">
        <f aca="false">IF($A95="","",-SUMIFS(MOVIMIENTOS!$E$4:$E$20000,MOVIMIENTOS!$B$4:$B$20000,$A95,MOVIMIENTOS!$I$4:$I$20000,"Otros",MOVIMIENTOS!$H$4:$H$20000,"Gasto"))</f>
        <v/>
      </c>
    </row>
    <row r="96" customFormat="false" ht="15" hidden="false" customHeight="false" outlineLevel="0" collapsed="false">
      <c r="A96" s="95" t="str">
        <f aca="false">IF('MIS DATOS'!A58="","",'MIS DATOS'!A58)</f>
        <v/>
      </c>
      <c r="B96" s="35" t="str">
        <f aca="false">IF($A96="","",'MIS DATOS'!B58)</f>
        <v/>
      </c>
      <c r="C96" s="35" t="str">
        <f aca="false">IF($A96="","",'MIS DATOS'!C58)</f>
        <v/>
      </c>
      <c r="D96" s="35" t="str">
        <f aca="false">IF($A96="","",'MIS DATOS'!D58)</f>
        <v/>
      </c>
      <c r="E96" s="35" t="str">
        <f aca="false">IF($A96="","",'MIS DATOS'!G58)</f>
        <v/>
      </c>
      <c r="F96" s="35" t="str">
        <f aca="false">IF($A96="","",'MIS DATOS'!H58)</f>
        <v/>
      </c>
      <c r="G96" s="35" t="str">
        <f aca="false">IF($A96="","",'MIS DATOS'!I58)</f>
        <v/>
      </c>
      <c r="H96" s="35" t="str">
        <f aca="false">IF($A96="","",'MIS DATOS'!N58)</f>
        <v/>
      </c>
      <c r="I96" s="35" t="str">
        <f aca="false">IF($A96="","",-SUMIFS(MOVIMIENTOS!$E$4:$E$20000,MOVIMIENTOS!$B$4:$B$20000,$A96,MOVIMIENTOS!$I$4:$I$20000,"Casa",MOVIMIENTOS!$H$4:$H$20000,"Gasto"))</f>
        <v/>
      </c>
      <c r="J96" s="35" t="str">
        <f aca="false">IF($A96="","",-SUMIFS(MOVIMIENTOS!$E$4:$E$20000,MOVIMIENTOS!$B$4:$B$20000,$A96,MOVIMIENTOS!$I$4:$I$20000,"Comida",MOVIMIENTOS!$H$4:$H$20000,"Gasto")+SUMIFS(FLEXIBLE!$B$4:$B$200,FLEXIBLE!$F$4:$F$200,$A96))</f>
        <v/>
      </c>
      <c r="K96" s="35" t="str">
        <f aca="false">IF($A96="","",-SUMIFS(MOVIMIENTOS!$E$4:$E$20000,MOVIMIENTOS!$B$4:$B$20000,$A96,MOVIMIENTOS!$I$4:$I$20000,"Transporte",MOVIMIENTOS!$H$4:$H$20000,"Gasto")+SUMIFS(FLEXIBLE!$C$4:$C$200,FLEXIBLE!$F$4:$F$200,$A96))</f>
        <v/>
      </c>
      <c r="L96" s="35" t="str">
        <f aca="false">IF($A96="","",-SUMIFS(MOVIMIENTOS!$E$4:$E$20000,MOVIMIENTOS!$B$4:$B$20000,$A96,MOVIMIENTOS!$I$4:$I$20000,"Salud",MOVIMIENTOS!$H$4:$H$20000,"Gasto"))</f>
        <v/>
      </c>
      <c r="M96" s="35" t="str">
        <f aca="false">IF($A96="","",-SUMIFS(MOVIMIENTOS!$E$4:$E$20000,MOVIMIENTOS!$B$4:$B$20000,$A96,MOVIMIENTOS!$I$4:$I$20000,"Seguros",MOVIMIENTOS!$H$4:$H$20000,"Gasto"))</f>
        <v/>
      </c>
      <c r="N96" s="35" t="str">
        <f aca="false">IF($A96="","",-SUMIFS(MOVIMIENTOS!$E$4:$E$20000,MOVIMIENTOS!$B$4:$B$20000,$A96,MOVIMIENTOS!$I$4:$I$20000,"Personal",MOVIMIENTOS!$H$4:$H$20000,"Gasto"))</f>
        <v/>
      </c>
      <c r="O96" s="35" t="str">
        <f aca="false">IF($A96="","",-SUMIFS(MOVIMIENTOS!$E$4:$E$20000,MOVIMIENTOS!$B$4:$B$20000,$A96,MOVIMIENTOS!$I$4:$I$20000,"Ocio",MOVIMIENTOS!$H$4:$H$20000,"Gasto"))</f>
        <v/>
      </c>
      <c r="P96" s="35" t="str">
        <f aca="false">IF($A96="","",-SUMIFS(MOVIMIENTOS!$E$4:$E$20000,MOVIMIENTOS!$B$4:$B$20000,$A96,MOVIMIENTOS!$I$4:$I$20000,"Viajes",MOVIMIENTOS!$H$4:$H$20000,"Gasto"))</f>
        <v/>
      </c>
      <c r="Q96" s="35" t="str">
        <f aca="false">IF($A96="","",-SUMIFS(MOVIMIENTOS!$E$4:$E$20000,MOVIMIENTOS!$B$4:$B$20000,$A96,MOVIMIENTOS!$I$4:$I$20000,"Efectivo",MOVIMIENTOS!$H$4:$H$20000,"Gasto"))</f>
        <v/>
      </c>
      <c r="R96" s="35" t="str">
        <f aca="false">IF($A96="","",-SUMIFS(MOVIMIENTOS!$E$4:$E$20000,MOVIMIENTOS!$B$4:$B$20000,$A96,MOVIMIENTOS!$I$4:$I$20000,"Otros",MOVIMIENTOS!$H$4:$H$20000,"Gasto"))</f>
        <v/>
      </c>
    </row>
    <row r="97" customFormat="false" ht="15" hidden="false" customHeight="false" outlineLevel="0" collapsed="false">
      <c r="A97" s="95" t="str">
        <f aca="false">IF('MIS DATOS'!A59="","",'MIS DATOS'!A59)</f>
        <v/>
      </c>
      <c r="B97" s="35" t="str">
        <f aca="false">IF($A97="","",'MIS DATOS'!B59)</f>
        <v/>
      </c>
      <c r="C97" s="35" t="str">
        <f aca="false">IF($A97="","",'MIS DATOS'!C59)</f>
        <v/>
      </c>
      <c r="D97" s="35" t="str">
        <f aca="false">IF($A97="","",'MIS DATOS'!D59)</f>
        <v/>
      </c>
      <c r="E97" s="35" t="str">
        <f aca="false">IF($A97="","",'MIS DATOS'!G59)</f>
        <v/>
      </c>
      <c r="F97" s="35" t="str">
        <f aca="false">IF($A97="","",'MIS DATOS'!H59)</f>
        <v/>
      </c>
      <c r="G97" s="35" t="str">
        <f aca="false">IF($A97="","",'MIS DATOS'!I59)</f>
        <v/>
      </c>
      <c r="H97" s="35" t="str">
        <f aca="false">IF($A97="","",'MIS DATOS'!N59)</f>
        <v/>
      </c>
      <c r="I97" s="35" t="str">
        <f aca="false">IF($A97="","",-SUMIFS(MOVIMIENTOS!$E$4:$E$20000,MOVIMIENTOS!$B$4:$B$20000,$A97,MOVIMIENTOS!$I$4:$I$20000,"Casa",MOVIMIENTOS!$H$4:$H$20000,"Gasto"))</f>
        <v/>
      </c>
      <c r="J97" s="35" t="str">
        <f aca="false">IF($A97="","",-SUMIFS(MOVIMIENTOS!$E$4:$E$20000,MOVIMIENTOS!$B$4:$B$20000,$A97,MOVIMIENTOS!$I$4:$I$20000,"Comida",MOVIMIENTOS!$H$4:$H$20000,"Gasto")+SUMIFS(FLEXIBLE!$B$4:$B$200,FLEXIBLE!$F$4:$F$200,$A97))</f>
        <v/>
      </c>
      <c r="K97" s="35" t="str">
        <f aca="false">IF($A97="","",-SUMIFS(MOVIMIENTOS!$E$4:$E$20000,MOVIMIENTOS!$B$4:$B$20000,$A97,MOVIMIENTOS!$I$4:$I$20000,"Transporte",MOVIMIENTOS!$H$4:$H$20000,"Gasto")+SUMIFS(FLEXIBLE!$C$4:$C$200,FLEXIBLE!$F$4:$F$200,$A97))</f>
        <v/>
      </c>
      <c r="L97" s="35" t="str">
        <f aca="false">IF($A97="","",-SUMIFS(MOVIMIENTOS!$E$4:$E$20000,MOVIMIENTOS!$B$4:$B$20000,$A97,MOVIMIENTOS!$I$4:$I$20000,"Salud",MOVIMIENTOS!$H$4:$H$20000,"Gasto"))</f>
        <v/>
      </c>
      <c r="M97" s="35" t="str">
        <f aca="false">IF($A97="","",-SUMIFS(MOVIMIENTOS!$E$4:$E$20000,MOVIMIENTOS!$B$4:$B$20000,$A97,MOVIMIENTOS!$I$4:$I$20000,"Seguros",MOVIMIENTOS!$H$4:$H$20000,"Gasto"))</f>
        <v/>
      </c>
      <c r="N97" s="35" t="str">
        <f aca="false">IF($A97="","",-SUMIFS(MOVIMIENTOS!$E$4:$E$20000,MOVIMIENTOS!$B$4:$B$20000,$A97,MOVIMIENTOS!$I$4:$I$20000,"Personal",MOVIMIENTOS!$H$4:$H$20000,"Gasto"))</f>
        <v/>
      </c>
      <c r="O97" s="35" t="str">
        <f aca="false">IF($A97="","",-SUMIFS(MOVIMIENTOS!$E$4:$E$20000,MOVIMIENTOS!$B$4:$B$20000,$A97,MOVIMIENTOS!$I$4:$I$20000,"Ocio",MOVIMIENTOS!$H$4:$H$20000,"Gasto"))</f>
        <v/>
      </c>
      <c r="P97" s="35" t="str">
        <f aca="false">IF($A97="","",-SUMIFS(MOVIMIENTOS!$E$4:$E$20000,MOVIMIENTOS!$B$4:$B$20000,$A97,MOVIMIENTOS!$I$4:$I$20000,"Viajes",MOVIMIENTOS!$H$4:$H$20000,"Gasto"))</f>
        <v/>
      </c>
      <c r="Q97" s="35" t="str">
        <f aca="false">IF($A97="","",-SUMIFS(MOVIMIENTOS!$E$4:$E$20000,MOVIMIENTOS!$B$4:$B$20000,$A97,MOVIMIENTOS!$I$4:$I$20000,"Efectivo",MOVIMIENTOS!$H$4:$H$20000,"Gasto"))</f>
        <v/>
      </c>
      <c r="R97" s="35" t="str">
        <f aca="false">IF($A97="","",-SUMIFS(MOVIMIENTOS!$E$4:$E$20000,MOVIMIENTOS!$B$4:$B$20000,$A97,MOVIMIENTOS!$I$4:$I$20000,"Otros",MOVIMIENTOS!$H$4:$H$20000,"Gasto"))</f>
        <v/>
      </c>
    </row>
    <row r="98" customFormat="false" ht="15" hidden="false" customHeight="false" outlineLevel="0" collapsed="false">
      <c r="A98" s="95" t="str">
        <f aca="false">IF('MIS DATOS'!A60="","",'MIS DATOS'!A60)</f>
        <v/>
      </c>
      <c r="B98" s="35" t="str">
        <f aca="false">IF($A98="","",'MIS DATOS'!B60)</f>
        <v/>
      </c>
      <c r="C98" s="35" t="str">
        <f aca="false">IF($A98="","",'MIS DATOS'!C60)</f>
        <v/>
      </c>
      <c r="D98" s="35" t="str">
        <f aca="false">IF($A98="","",'MIS DATOS'!D60)</f>
        <v/>
      </c>
      <c r="E98" s="35" t="str">
        <f aca="false">IF($A98="","",'MIS DATOS'!G60)</f>
        <v/>
      </c>
      <c r="F98" s="35" t="str">
        <f aca="false">IF($A98="","",'MIS DATOS'!H60)</f>
        <v/>
      </c>
      <c r="G98" s="35" t="str">
        <f aca="false">IF($A98="","",'MIS DATOS'!I60)</f>
        <v/>
      </c>
      <c r="H98" s="35" t="str">
        <f aca="false">IF($A98="","",'MIS DATOS'!N60)</f>
        <v/>
      </c>
      <c r="I98" s="35" t="str">
        <f aca="false">IF($A98="","",-SUMIFS(MOVIMIENTOS!$E$4:$E$20000,MOVIMIENTOS!$B$4:$B$20000,$A98,MOVIMIENTOS!$I$4:$I$20000,"Casa",MOVIMIENTOS!$H$4:$H$20000,"Gasto"))</f>
        <v/>
      </c>
      <c r="J98" s="35" t="str">
        <f aca="false">IF($A98="","",-SUMIFS(MOVIMIENTOS!$E$4:$E$20000,MOVIMIENTOS!$B$4:$B$20000,$A98,MOVIMIENTOS!$I$4:$I$20000,"Comida",MOVIMIENTOS!$H$4:$H$20000,"Gasto")+SUMIFS(FLEXIBLE!$B$4:$B$200,FLEXIBLE!$F$4:$F$200,$A98))</f>
        <v/>
      </c>
      <c r="K98" s="35" t="str">
        <f aca="false">IF($A98="","",-SUMIFS(MOVIMIENTOS!$E$4:$E$20000,MOVIMIENTOS!$B$4:$B$20000,$A98,MOVIMIENTOS!$I$4:$I$20000,"Transporte",MOVIMIENTOS!$H$4:$H$20000,"Gasto")+SUMIFS(FLEXIBLE!$C$4:$C$200,FLEXIBLE!$F$4:$F$200,$A98))</f>
        <v/>
      </c>
      <c r="L98" s="35" t="str">
        <f aca="false">IF($A98="","",-SUMIFS(MOVIMIENTOS!$E$4:$E$20000,MOVIMIENTOS!$B$4:$B$20000,$A98,MOVIMIENTOS!$I$4:$I$20000,"Salud",MOVIMIENTOS!$H$4:$H$20000,"Gasto"))</f>
        <v/>
      </c>
      <c r="M98" s="35" t="str">
        <f aca="false">IF($A98="","",-SUMIFS(MOVIMIENTOS!$E$4:$E$20000,MOVIMIENTOS!$B$4:$B$20000,$A98,MOVIMIENTOS!$I$4:$I$20000,"Seguros",MOVIMIENTOS!$H$4:$H$20000,"Gasto"))</f>
        <v/>
      </c>
      <c r="N98" s="35" t="str">
        <f aca="false">IF($A98="","",-SUMIFS(MOVIMIENTOS!$E$4:$E$20000,MOVIMIENTOS!$B$4:$B$20000,$A98,MOVIMIENTOS!$I$4:$I$20000,"Personal",MOVIMIENTOS!$H$4:$H$20000,"Gasto"))</f>
        <v/>
      </c>
      <c r="O98" s="35" t="str">
        <f aca="false">IF($A98="","",-SUMIFS(MOVIMIENTOS!$E$4:$E$20000,MOVIMIENTOS!$B$4:$B$20000,$A98,MOVIMIENTOS!$I$4:$I$20000,"Ocio",MOVIMIENTOS!$H$4:$H$20000,"Gasto"))</f>
        <v/>
      </c>
      <c r="P98" s="35" t="str">
        <f aca="false">IF($A98="","",-SUMIFS(MOVIMIENTOS!$E$4:$E$20000,MOVIMIENTOS!$B$4:$B$20000,$A98,MOVIMIENTOS!$I$4:$I$20000,"Viajes",MOVIMIENTOS!$H$4:$H$20000,"Gasto"))</f>
        <v/>
      </c>
      <c r="Q98" s="35" t="str">
        <f aca="false">IF($A98="","",-SUMIFS(MOVIMIENTOS!$E$4:$E$20000,MOVIMIENTOS!$B$4:$B$20000,$A98,MOVIMIENTOS!$I$4:$I$20000,"Efectivo",MOVIMIENTOS!$H$4:$H$20000,"Gasto"))</f>
        <v/>
      </c>
      <c r="R98" s="35" t="str">
        <f aca="false">IF($A98="","",-SUMIFS(MOVIMIENTOS!$E$4:$E$20000,MOVIMIENTOS!$B$4:$B$20000,$A98,MOVIMIENTOS!$I$4:$I$20000,"Otros",MOVIMIENTOS!$H$4:$H$20000,"Gasto"))</f>
        <v/>
      </c>
    </row>
    <row r="99" customFormat="false" ht="15" hidden="false" customHeight="false" outlineLevel="0" collapsed="false">
      <c r="A99" s="95" t="str">
        <f aca="false">IF('MIS DATOS'!A61="","",'MIS DATOS'!A61)</f>
        <v/>
      </c>
      <c r="B99" s="35" t="str">
        <f aca="false">IF($A99="","",'MIS DATOS'!B61)</f>
        <v/>
      </c>
      <c r="C99" s="35" t="str">
        <f aca="false">IF($A99="","",'MIS DATOS'!C61)</f>
        <v/>
      </c>
      <c r="D99" s="35" t="str">
        <f aca="false">IF($A99="","",'MIS DATOS'!D61)</f>
        <v/>
      </c>
      <c r="E99" s="35" t="str">
        <f aca="false">IF($A99="","",'MIS DATOS'!G61)</f>
        <v/>
      </c>
      <c r="F99" s="35" t="str">
        <f aca="false">IF($A99="","",'MIS DATOS'!H61)</f>
        <v/>
      </c>
      <c r="G99" s="35" t="str">
        <f aca="false">IF($A99="","",'MIS DATOS'!I61)</f>
        <v/>
      </c>
      <c r="H99" s="35" t="str">
        <f aca="false">IF($A99="","",'MIS DATOS'!N61)</f>
        <v/>
      </c>
      <c r="I99" s="35" t="str">
        <f aca="false">IF($A99="","",-SUMIFS(MOVIMIENTOS!$E$4:$E$20000,MOVIMIENTOS!$B$4:$B$20000,$A99,MOVIMIENTOS!$I$4:$I$20000,"Casa",MOVIMIENTOS!$H$4:$H$20000,"Gasto"))</f>
        <v/>
      </c>
      <c r="J99" s="35" t="str">
        <f aca="false">IF($A99="","",-SUMIFS(MOVIMIENTOS!$E$4:$E$20000,MOVIMIENTOS!$B$4:$B$20000,$A99,MOVIMIENTOS!$I$4:$I$20000,"Comida",MOVIMIENTOS!$H$4:$H$20000,"Gasto")+SUMIFS(FLEXIBLE!$B$4:$B$200,FLEXIBLE!$F$4:$F$200,$A99))</f>
        <v/>
      </c>
      <c r="K99" s="35" t="str">
        <f aca="false">IF($A99="","",-SUMIFS(MOVIMIENTOS!$E$4:$E$20000,MOVIMIENTOS!$B$4:$B$20000,$A99,MOVIMIENTOS!$I$4:$I$20000,"Transporte",MOVIMIENTOS!$H$4:$H$20000,"Gasto")+SUMIFS(FLEXIBLE!$C$4:$C$200,FLEXIBLE!$F$4:$F$200,$A99))</f>
        <v/>
      </c>
      <c r="L99" s="35" t="str">
        <f aca="false">IF($A99="","",-SUMIFS(MOVIMIENTOS!$E$4:$E$20000,MOVIMIENTOS!$B$4:$B$20000,$A99,MOVIMIENTOS!$I$4:$I$20000,"Salud",MOVIMIENTOS!$H$4:$H$20000,"Gasto"))</f>
        <v/>
      </c>
      <c r="M99" s="35" t="str">
        <f aca="false">IF($A99="","",-SUMIFS(MOVIMIENTOS!$E$4:$E$20000,MOVIMIENTOS!$B$4:$B$20000,$A99,MOVIMIENTOS!$I$4:$I$20000,"Seguros",MOVIMIENTOS!$H$4:$H$20000,"Gasto"))</f>
        <v/>
      </c>
      <c r="N99" s="35" t="str">
        <f aca="false">IF($A99="","",-SUMIFS(MOVIMIENTOS!$E$4:$E$20000,MOVIMIENTOS!$B$4:$B$20000,$A99,MOVIMIENTOS!$I$4:$I$20000,"Personal",MOVIMIENTOS!$H$4:$H$20000,"Gasto"))</f>
        <v/>
      </c>
      <c r="O99" s="35" t="str">
        <f aca="false">IF($A99="","",-SUMIFS(MOVIMIENTOS!$E$4:$E$20000,MOVIMIENTOS!$B$4:$B$20000,$A99,MOVIMIENTOS!$I$4:$I$20000,"Ocio",MOVIMIENTOS!$H$4:$H$20000,"Gasto"))</f>
        <v/>
      </c>
      <c r="P99" s="35" t="str">
        <f aca="false">IF($A99="","",-SUMIFS(MOVIMIENTOS!$E$4:$E$20000,MOVIMIENTOS!$B$4:$B$20000,$A99,MOVIMIENTOS!$I$4:$I$20000,"Viajes",MOVIMIENTOS!$H$4:$H$20000,"Gasto"))</f>
        <v/>
      </c>
      <c r="Q99" s="35" t="str">
        <f aca="false">IF($A99="","",-SUMIFS(MOVIMIENTOS!$E$4:$E$20000,MOVIMIENTOS!$B$4:$B$20000,$A99,MOVIMIENTOS!$I$4:$I$20000,"Efectivo",MOVIMIENTOS!$H$4:$H$20000,"Gasto"))</f>
        <v/>
      </c>
      <c r="R99" s="35" t="str">
        <f aca="false">IF($A99="","",-SUMIFS(MOVIMIENTOS!$E$4:$E$20000,MOVIMIENTOS!$B$4:$B$20000,$A99,MOVIMIENTOS!$I$4:$I$20000,"Otros",MOVIMIENTOS!$H$4:$H$20000,"Gasto"))</f>
        <v/>
      </c>
    </row>
    <row r="100" customFormat="false" ht="15" hidden="false" customHeight="false" outlineLevel="0" collapsed="false">
      <c r="A100" s="95" t="str">
        <f aca="false">IF('MIS DATOS'!A62="","",'MIS DATOS'!A62)</f>
        <v/>
      </c>
      <c r="B100" s="35" t="str">
        <f aca="false">IF($A100="","",'MIS DATOS'!B62)</f>
        <v/>
      </c>
      <c r="C100" s="35" t="str">
        <f aca="false">IF($A100="","",'MIS DATOS'!C62)</f>
        <v/>
      </c>
      <c r="D100" s="35" t="str">
        <f aca="false">IF($A100="","",'MIS DATOS'!D62)</f>
        <v/>
      </c>
      <c r="E100" s="35" t="str">
        <f aca="false">IF($A100="","",'MIS DATOS'!G62)</f>
        <v/>
      </c>
      <c r="F100" s="35" t="str">
        <f aca="false">IF($A100="","",'MIS DATOS'!H62)</f>
        <v/>
      </c>
      <c r="G100" s="35" t="str">
        <f aca="false">IF($A100="","",'MIS DATOS'!I62)</f>
        <v/>
      </c>
      <c r="H100" s="35" t="str">
        <f aca="false">IF($A100="","",'MIS DATOS'!N62)</f>
        <v/>
      </c>
      <c r="I100" s="35" t="str">
        <f aca="false">IF($A100="","",-SUMIFS(MOVIMIENTOS!$E$4:$E$20000,MOVIMIENTOS!$B$4:$B$20000,$A100,MOVIMIENTOS!$I$4:$I$20000,"Casa",MOVIMIENTOS!$H$4:$H$20000,"Gasto"))</f>
        <v/>
      </c>
      <c r="J100" s="35" t="str">
        <f aca="false">IF($A100="","",-SUMIFS(MOVIMIENTOS!$E$4:$E$20000,MOVIMIENTOS!$B$4:$B$20000,$A100,MOVIMIENTOS!$I$4:$I$20000,"Comida",MOVIMIENTOS!$H$4:$H$20000,"Gasto")+SUMIFS(FLEXIBLE!$B$4:$B$200,FLEXIBLE!$F$4:$F$200,$A100))</f>
        <v/>
      </c>
      <c r="K100" s="35" t="str">
        <f aca="false">IF($A100="","",-SUMIFS(MOVIMIENTOS!$E$4:$E$20000,MOVIMIENTOS!$B$4:$B$20000,$A100,MOVIMIENTOS!$I$4:$I$20000,"Transporte",MOVIMIENTOS!$H$4:$H$20000,"Gasto")+SUMIFS(FLEXIBLE!$C$4:$C$200,FLEXIBLE!$F$4:$F$200,$A100))</f>
        <v/>
      </c>
      <c r="L100" s="35" t="str">
        <f aca="false">IF($A100="","",-SUMIFS(MOVIMIENTOS!$E$4:$E$20000,MOVIMIENTOS!$B$4:$B$20000,$A100,MOVIMIENTOS!$I$4:$I$20000,"Salud",MOVIMIENTOS!$H$4:$H$20000,"Gasto"))</f>
        <v/>
      </c>
      <c r="M100" s="35" t="str">
        <f aca="false">IF($A100="","",-SUMIFS(MOVIMIENTOS!$E$4:$E$20000,MOVIMIENTOS!$B$4:$B$20000,$A100,MOVIMIENTOS!$I$4:$I$20000,"Seguros",MOVIMIENTOS!$H$4:$H$20000,"Gasto"))</f>
        <v/>
      </c>
      <c r="N100" s="35" t="str">
        <f aca="false">IF($A100="","",-SUMIFS(MOVIMIENTOS!$E$4:$E$20000,MOVIMIENTOS!$B$4:$B$20000,$A100,MOVIMIENTOS!$I$4:$I$20000,"Personal",MOVIMIENTOS!$H$4:$H$20000,"Gasto"))</f>
        <v/>
      </c>
      <c r="O100" s="35" t="str">
        <f aca="false">IF($A100="","",-SUMIFS(MOVIMIENTOS!$E$4:$E$20000,MOVIMIENTOS!$B$4:$B$20000,$A100,MOVIMIENTOS!$I$4:$I$20000,"Ocio",MOVIMIENTOS!$H$4:$H$20000,"Gasto"))</f>
        <v/>
      </c>
      <c r="P100" s="35" t="str">
        <f aca="false">IF($A100="","",-SUMIFS(MOVIMIENTOS!$E$4:$E$20000,MOVIMIENTOS!$B$4:$B$20000,$A100,MOVIMIENTOS!$I$4:$I$20000,"Viajes",MOVIMIENTOS!$H$4:$H$20000,"Gasto"))</f>
        <v/>
      </c>
      <c r="Q100" s="35" t="str">
        <f aca="false">IF($A100="","",-SUMIFS(MOVIMIENTOS!$E$4:$E$20000,MOVIMIENTOS!$B$4:$B$20000,$A100,MOVIMIENTOS!$I$4:$I$20000,"Efectivo",MOVIMIENTOS!$H$4:$H$20000,"Gasto"))</f>
        <v/>
      </c>
      <c r="R100" s="35" t="str">
        <f aca="false">IF($A100="","",-SUMIFS(MOVIMIENTOS!$E$4:$E$20000,MOVIMIENTOS!$B$4:$B$20000,$A100,MOVIMIENTOS!$I$4:$I$20000,"Otros",MOVIMIENTOS!$H$4:$H$20000,"Gasto"))</f>
        <v/>
      </c>
    </row>
    <row r="101" customFormat="false" ht="15" hidden="false" customHeight="false" outlineLevel="0" collapsed="false">
      <c r="A101" s="95" t="str">
        <f aca="false">IF('MIS DATOS'!A63="","",'MIS DATOS'!A63)</f>
        <v/>
      </c>
      <c r="B101" s="35" t="str">
        <f aca="false">IF($A101="","",'MIS DATOS'!B63)</f>
        <v/>
      </c>
      <c r="C101" s="35" t="str">
        <f aca="false">IF($A101="","",'MIS DATOS'!C63)</f>
        <v/>
      </c>
      <c r="D101" s="35" t="str">
        <f aca="false">IF($A101="","",'MIS DATOS'!D63)</f>
        <v/>
      </c>
      <c r="E101" s="35" t="str">
        <f aca="false">IF($A101="","",'MIS DATOS'!G63)</f>
        <v/>
      </c>
      <c r="F101" s="35" t="str">
        <f aca="false">IF($A101="","",'MIS DATOS'!H63)</f>
        <v/>
      </c>
      <c r="G101" s="35" t="str">
        <f aca="false">IF($A101="","",'MIS DATOS'!I63)</f>
        <v/>
      </c>
      <c r="H101" s="35" t="str">
        <f aca="false">IF($A101="","",'MIS DATOS'!N63)</f>
        <v/>
      </c>
      <c r="I101" s="35" t="str">
        <f aca="false">IF($A101="","",-SUMIFS(MOVIMIENTOS!$E$4:$E$20000,MOVIMIENTOS!$B$4:$B$20000,$A101,MOVIMIENTOS!$I$4:$I$20000,"Casa",MOVIMIENTOS!$H$4:$H$20000,"Gasto"))</f>
        <v/>
      </c>
      <c r="J101" s="35" t="str">
        <f aca="false">IF($A101="","",-SUMIFS(MOVIMIENTOS!$E$4:$E$20000,MOVIMIENTOS!$B$4:$B$20000,$A101,MOVIMIENTOS!$I$4:$I$20000,"Comida",MOVIMIENTOS!$H$4:$H$20000,"Gasto")+SUMIFS(FLEXIBLE!$B$4:$B$200,FLEXIBLE!$F$4:$F$200,$A101))</f>
        <v/>
      </c>
      <c r="K101" s="35" t="str">
        <f aca="false">IF($A101="","",-SUMIFS(MOVIMIENTOS!$E$4:$E$20000,MOVIMIENTOS!$B$4:$B$20000,$A101,MOVIMIENTOS!$I$4:$I$20000,"Transporte",MOVIMIENTOS!$H$4:$H$20000,"Gasto")+SUMIFS(FLEXIBLE!$C$4:$C$200,FLEXIBLE!$F$4:$F$200,$A101))</f>
        <v/>
      </c>
      <c r="L101" s="35" t="str">
        <f aca="false">IF($A101="","",-SUMIFS(MOVIMIENTOS!$E$4:$E$20000,MOVIMIENTOS!$B$4:$B$20000,$A101,MOVIMIENTOS!$I$4:$I$20000,"Salud",MOVIMIENTOS!$H$4:$H$20000,"Gasto"))</f>
        <v/>
      </c>
      <c r="M101" s="35" t="str">
        <f aca="false">IF($A101="","",-SUMIFS(MOVIMIENTOS!$E$4:$E$20000,MOVIMIENTOS!$B$4:$B$20000,$A101,MOVIMIENTOS!$I$4:$I$20000,"Seguros",MOVIMIENTOS!$H$4:$H$20000,"Gasto"))</f>
        <v/>
      </c>
      <c r="N101" s="35" t="str">
        <f aca="false">IF($A101="","",-SUMIFS(MOVIMIENTOS!$E$4:$E$20000,MOVIMIENTOS!$B$4:$B$20000,$A101,MOVIMIENTOS!$I$4:$I$20000,"Personal",MOVIMIENTOS!$H$4:$H$20000,"Gasto"))</f>
        <v/>
      </c>
      <c r="O101" s="35" t="str">
        <f aca="false">IF($A101="","",-SUMIFS(MOVIMIENTOS!$E$4:$E$20000,MOVIMIENTOS!$B$4:$B$20000,$A101,MOVIMIENTOS!$I$4:$I$20000,"Ocio",MOVIMIENTOS!$H$4:$H$20000,"Gasto"))</f>
        <v/>
      </c>
      <c r="P101" s="35" t="str">
        <f aca="false">IF($A101="","",-SUMIFS(MOVIMIENTOS!$E$4:$E$20000,MOVIMIENTOS!$B$4:$B$20000,$A101,MOVIMIENTOS!$I$4:$I$20000,"Viajes",MOVIMIENTOS!$H$4:$H$20000,"Gasto"))</f>
        <v/>
      </c>
      <c r="Q101" s="35" t="str">
        <f aca="false">IF($A101="","",-SUMIFS(MOVIMIENTOS!$E$4:$E$20000,MOVIMIENTOS!$B$4:$B$20000,$A101,MOVIMIENTOS!$I$4:$I$20000,"Efectivo",MOVIMIENTOS!$H$4:$H$20000,"Gasto"))</f>
        <v/>
      </c>
      <c r="R101" s="35" t="str">
        <f aca="false">IF($A101="","",-SUMIFS(MOVIMIENTOS!$E$4:$E$20000,MOVIMIENTOS!$B$4:$B$20000,$A101,MOVIMIENTOS!$I$4:$I$20000,"Otros",MOVIMIENTOS!$H$4:$H$20000,"Gasto"))</f>
        <v/>
      </c>
    </row>
    <row r="102" customFormat="false" ht="15" hidden="false" customHeight="false" outlineLevel="0" collapsed="false">
      <c r="A102" s="95" t="str">
        <f aca="false">IF('MIS DATOS'!A64="","",'MIS DATOS'!A64)</f>
        <v/>
      </c>
      <c r="B102" s="35" t="str">
        <f aca="false">IF($A102="","",'MIS DATOS'!B64)</f>
        <v/>
      </c>
      <c r="C102" s="35" t="str">
        <f aca="false">IF($A102="","",'MIS DATOS'!C64)</f>
        <v/>
      </c>
      <c r="D102" s="35" t="str">
        <f aca="false">IF($A102="","",'MIS DATOS'!D64)</f>
        <v/>
      </c>
      <c r="E102" s="35" t="str">
        <f aca="false">IF($A102="","",'MIS DATOS'!G64)</f>
        <v/>
      </c>
      <c r="F102" s="35" t="str">
        <f aca="false">IF($A102="","",'MIS DATOS'!H64)</f>
        <v/>
      </c>
      <c r="G102" s="35" t="str">
        <f aca="false">IF($A102="","",'MIS DATOS'!I64)</f>
        <v/>
      </c>
      <c r="H102" s="35" t="str">
        <f aca="false">IF($A102="","",'MIS DATOS'!N64)</f>
        <v/>
      </c>
      <c r="I102" s="35" t="str">
        <f aca="false">IF($A102="","",-SUMIFS(MOVIMIENTOS!$E$4:$E$20000,MOVIMIENTOS!$B$4:$B$20000,$A102,MOVIMIENTOS!$I$4:$I$20000,"Casa",MOVIMIENTOS!$H$4:$H$20000,"Gasto"))</f>
        <v/>
      </c>
      <c r="J102" s="35" t="str">
        <f aca="false">IF($A102="","",-SUMIFS(MOVIMIENTOS!$E$4:$E$20000,MOVIMIENTOS!$B$4:$B$20000,$A102,MOVIMIENTOS!$I$4:$I$20000,"Comida",MOVIMIENTOS!$H$4:$H$20000,"Gasto")+SUMIFS(FLEXIBLE!$B$4:$B$200,FLEXIBLE!$F$4:$F$200,$A102))</f>
        <v/>
      </c>
      <c r="K102" s="35" t="str">
        <f aca="false">IF($A102="","",-SUMIFS(MOVIMIENTOS!$E$4:$E$20000,MOVIMIENTOS!$B$4:$B$20000,$A102,MOVIMIENTOS!$I$4:$I$20000,"Transporte",MOVIMIENTOS!$H$4:$H$20000,"Gasto")+SUMIFS(FLEXIBLE!$C$4:$C$200,FLEXIBLE!$F$4:$F$200,$A102))</f>
        <v/>
      </c>
      <c r="L102" s="35" t="str">
        <f aca="false">IF($A102="","",-SUMIFS(MOVIMIENTOS!$E$4:$E$20000,MOVIMIENTOS!$B$4:$B$20000,$A102,MOVIMIENTOS!$I$4:$I$20000,"Salud",MOVIMIENTOS!$H$4:$H$20000,"Gasto"))</f>
        <v/>
      </c>
      <c r="M102" s="35" t="str">
        <f aca="false">IF($A102="","",-SUMIFS(MOVIMIENTOS!$E$4:$E$20000,MOVIMIENTOS!$B$4:$B$20000,$A102,MOVIMIENTOS!$I$4:$I$20000,"Seguros",MOVIMIENTOS!$H$4:$H$20000,"Gasto"))</f>
        <v/>
      </c>
      <c r="N102" s="35" t="str">
        <f aca="false">IF($A102="","",-SUMIFS(MOVIMIENTOS!$E$4:$E$20000,MOVIMIENTOS!$B$4:$B$20000,$A102,MOVIMIENTOS!$I$4:$I$20000,"Personal",MOVIMIENTOS!$H$4:$H$20000,"Gasto"))</f>
        <v/>
      </c>
      <c r="O102" s="35" t="str">
        <f aca="false">IF($A102="","",-SUMIFS(MOVIMIENTOS!$E$4:$E$20000,MOVIMIENTOS!$B$4:$B$20000,$A102,MOVIMIENTOS!$I$4:$I$20000,"Ocio",MOVIMIENTOS!$H$4:$H$20000,"Gasto"))</f>
        <v/>
      </c>
      <c r="P102" s="35" t="str">
        <f aca="false">IF($A102="","",-SUMIFS(MOVIMIENTOS!$E$4:$E$20000,MOVIMIENTOS!$B$4:$B$20000,$A102,MOVIMIENTOS!$I$4:$I$20000,"Viajes",MOVIMIENTOS!$H$4:$H$20000,"Gasto"))</f>
        <v/>
      </c>
      <c r="Q102" s="35" t="str">
        <f aca="false">IF($A102="","",-SUMIFS(MOVIMIENTOS!$E$4:$E$20000,MOVIMIENTOS!$B$4:$B$20000,$A102,MOVIMIENTOS!$I$4:$I$20000,"Efectivo",MOVIMIENTOS!$H$4:$H$20000,"Gasto"))</f>
        <v/>
      </c>
      <c r="R102" s="35" t="str">
        <f aca="false">IF($A102="","",-SUMIFS(MOVIMIENTOS!$E$4:$E$20000,MOVIMIENTOS!$B$4:$B$20000,$A102,MOVIMIENTOS!$I$4:$I$20000,"Otros",MOVIMIENTOS!$H$4:$H$20000,"Gasto"))</f>
        <v/>
      </c>
    </row>
    <row r="103" customFormat="false" ht="15" hidden="false" customHeight="false" outlineLevel="0" collapsed="false">
      <c r="A103" s="95" t="str">
        <f aca="false">IF('MIS DATOS'!A65="","",'MIS DATOS'!A65)</f>
        <v/>
      </c>
      <c r="B103" s="35" t="str">
        <f aca="false">IF($A103="","",'MIS DATOS'!B65)</f>
        <v/>
      </c>
      <c r="C103" s="35" t="str">
        <f aca="false">IF($A103="","",'MIS DATOS'!C65)</f>
        <v/>
      </c>
      <c r="D103" s="35" t="str">
        <f aca="false">IF($A103="","",'MIS DATOS'!D65)</f>
        <v/>
      </c>
      <c r="E103" s="35" t="str">
        <f aca="false">IF($A103="","",'MIS DATOS'!G65)</f>
        <v/>
      </c>
      <c r="F103" s="35" t="str">
        <f aca="false">IF($A103="","",'MIS DATOS'!H65)</f>
        <v/>
      </c>
      <c r="G103" s="35" t="str">
        <f aca="false">IF($A103="","",'MIS DATOS'!I65)</f>
        <v/>
      </c>
      <c r="H103" s="35" t="str">
        <f aca="false">IF($A103="","",'MIS DATOS'!N65)</f>
        <v/>
      </c>
      <c r="I103" s="35" t="str">
        <f aca="false">IF($A103="","",-SUMIFS(MOVIMIENTOS!$E$4:$E$20000,MOVIMIENTOS!$B$4:$B$20000,$A103,MOVIMIENTOS!$I$4:$I$20000,"Casa",MOVIMIENTOS!$H$4:$H$20000,"Gasto"))</f>
        <v/>
      </c>
      <c r="J103" s="35" t="str">
        <f aca="false">IF($A103="","",-SUMIFS(MOVIMIENTOS!$E$4:$E$20000,MOVIMIENTOS!$B$4:$B$20000,$A103,MOVIMIENTOS!$I$4:$I$20000,"Comida",MOVIMIENTOS!$H$4:$H$20000,"Gasto")+SUMIFS(FLEXIBLE!$B$4:$B$200,FLEXIBLE!$F$4:$F$200,$A103))</f>
        <v/>
      </c>
      <c r="K103" s="35" t="str">
        <f aca="false">IF($A103="","",-SUMIFS(MOVIMIENTOS!$E$4:$E$20000,MOVIMIENTOS!$B$4:$B$20000,$A103,MOVIMIENTOS!$I$4:$I$20000,"Transporte",MOVIMIENTOS!$H$4:$H$20000,"Gasto")+SUMIFS(FLEXIBLE!$C$4:$C$200,FLEXIBLE!$F$4:$F$200,$A103))</f>
        <v/>
      </c>
      <c r="L103" s="35" t="str">
        <f aca="false">IF($A103="","",-SUMIFS(MOVIMIENTOS!$E$4:$E$20000,MOVIMIENTOS!$B$4:$B$20000,$A103,MOVIMIENTOS!$I$4:$I$20000,"Salud",MOVIMIENTOS!$H$4:$H$20000,"Gasto"))</f>
        <v/>
      </c>
      <c r="M103" s="35" t="str">
        <f aca="false">IF($A103="","",-SUMIFS(MOVIMIENTOS!$E$4:$E$20000,MOVIMIENTOS!$B$4:$B$20000,$A103,MOVIMIENTOS!$I$4:$I$20000,"Seguros",MOVIMIENTOS!$H$4:$H$20000,"Gasto"))</f>
        <v/>
      </c>
      <c r="N103" s="35" t="str">
        <f aca="false">IF($A103="","",-SUMIFS(MOVIMIENTOS!$E$4:$E$20000,MOVIMIENTOS!$B$4:$B$20000,$A103,MOVIMIENTOS!$I$4:$I$20000,"Personal",MOVIMIENTOS!$H$4:$H$20000,"Gasto"))</f>
        <v/>
      </c>
      <c r="O103" s="35" t="str">
        <f aca="false">IF($A103="","",-SUMIFS(MOVIMIENTOS!$E$4:$E$20000,MOVIMIENTOS!$B$4:$B$20000,$A103,MOVIMIENTOS!$I$4:$I$20000,"Ocio",MOVIMIENTOS!$H$4:$H$20000,"Gasto"))</f>
        <v/>
      </c>
      <c r="P103" s="35" t="str">
        <f aca="false">IF($A103="","",-SUMIFS(MOVIMIENTOS!$E$4:$E$20000,MOVIMIENTOS!$B$4:$B$20000,$A103,MOVIMIENTOS!$I$4:$I$20000,"Viajes",MOVIMIENTOS!$H$4:$H$20000,"Gasto"))</f>
        <v/>
      </c>
      <c r="Q103" s="35" t="str">
        <f aca="false">IF($A103="","",-SUMIFS(MOVIMIENTOS!$E$4:$E$20000,MOVIMIENTOS!$B$4:$B$20000,$A103,MOVIMIENTOS!$I$4:$I$20000,"Efectivo",MOVIMIENTOS!$H$4:$H$20000,"Gasto"))</f>
        <v/>
      </c>
      <c r="R103" s="35" t="str">
        <f aca="false">IF($A103="","",-SUMIFS(MOVIMIENTOS!$E$4:$E$20000,MOVIMIENTOS!$B$4:$B$20000,$A103,MOVIMIENTOS!$I$4:$I$20000,"Otros",MOVIMIENTOS!$H$4:$H$20000,"Gasto"))</f>
        <v/>
      </c>
    </row>
    <row r="105" customFormat="false" ht="15" hidden="false" customHeight="false" outlineLevel="0" collapsed="false">
      <c r="A105" s="88" t="s">
        <v>976</v>
      </c>
    </row>
    <row r="106" customFormat="false" ht="15" hidden="false" customHeight="false" outlineLevel="0" collapsed="false">
      <c r="A106" s="89" t="s">
        <v>977</v>
      </c>
      <c r="B106" s="89" t="s">
        <v>978</v>
      </c>
      <c r="C106" s="89" t="s">
        <v>979</v>
      </c>
      <c r="D106" s="89" t="s">
        <v>980</v>
      </c>
    </row>
    <row r="107" customFormat="false" ht="15" hidden="false" customHeight="false" outlineLevel="0" collapsed="false">
      <c r="A107" s="35" t="str">
        <f aca="false">CASA!A5</f>
        <v>Alquiler</v>
      </c>
      <c r="B107" s="91" t="n">
        <f aca="false">CASA!O5</f>
        <v>850</v>
      </c>
      <c r="C107" s="91" t="n">
        <f aca="false">CASA!N5</f>
        <v>10200</v>
      </c>
      <c r="D107" s="96" t="n">
        <f aca="false">CASA!P5</f>
        <v>850</v>
      </c>
    </row>
    <row r="108" customFormat="false" ht="15" hidden="false" customHeight="false" outlineLevel="0" collapsed="false">
      <c r="A108" s="35" t="str">
        <f aca="false">CASA!A6</f>
        <v>Comunidad</v>
      </c>
      <c r="B108" s="91" t="n">
        <f aca="false">CASA!O6</f>
        <v>0</v>
      </c>
      <c r="C108" s="91" t="n">
        <f aca="false">CASA!N6</f>
        <v>0</v>
      </c>
      <c r="D108" s="96" t="n">
        <f aca="false">CASA!P6</f>
        <v>-0</v>
      </c>
    </row>
    <row r="109" customFormat="false" ht="15" hidden="false" customHeight="false" outlineLevel="0" collapsed="false">
      <c r="A109" s="35" t="str">
        <f aca="false">CASA!A7</f>
        <v>Luz y gas</v>
      </c>
      <c r="B109" s="91" t="n">
        <f aca="false">CASA!O7</f>
        <v>49.3666666666667</v>
      </c>
      <c r="C109" s="91" t="n">
        <f aca="false">CASA!N7</f>
        <v>592.4</v>
      </c>
      <c r="D109" s="96" t="n">
        <f aca="false">CASA!P7</f>
        <v>38.08</v>
      </c>
    </row>
    <row r="110" customFormat="false" ht="15" hidden="false" customHeight="false" outlineLevel="0" collapsed="false">
      <c r="A110" s="35" t="str">
        <f aca="false">CASA!A8</f>
        <v>Agua</v>
      </c>
      <c r="B110" s="91" t="n">
        <f aca="false">CASA!O8</f>
        <v>17.79</v>
      </c>
      <c r="C110" s="91" t="n">
        <f aca="false">CASA!N8</f>
        <v>213.48</v>
      </c>
      <c r="D110" s="96" t="n">
        <f aca="false">CASA!P8</f>
        <v>-0</v>
      </c>
    </row>
    <row r="111" customFormat="false" ht="15" hidden="false" customHeight="false" outlineLevel="0" collapsed="false">
      <c r="A111" s="35" t="str">
        <f aca="false">CASA!A9</f>
        <v>Internet y teléfono fijo</v>
      </c>
      <c r="B111" s="91" t="n">
        <f aca="false">CASA!O9</f>
        <v>39.9</v>
      </c>
      <c r="C111" s="91" t="n">
        <f aca="false">CASA!N9</f>
        <v>478.8</v>
      </c>
      <c r="D111" s="96" t="n">
        <f aca="false">CASA!P9</f>
        <v>39.9</v>
      </c>
    </row>
    <row r="112" customFormat="false" ht="15" hidden="false" customHeight="false" outlineLevel="0" collapsed="false">
      <c r="A112" s="35" t="str">
        <f aca="false">CASA!A10</f>
        <v>IBI y tasas</v>
      </c>
      <c r="B112" s="91" t="n">
        <f aca="false">CASA!O10</f>
        <v>0</v>
      </c>
      <c r="C112" s="91" t="n">
        <f aca="false">CASA!N10</f>
        <v>0</v>
      </c>
      <c r="D112" s="96" t="n">
        <f aca="false">CASA!P10</f>
        <v>-0</v>
      </c>
    </row>
    <row r="113" customFormat="false" ht="15" hidden="false" customHeight="false" outlineLevel="0" collapsed="false">
      <c r="A113" s="35" t="str">
        <f aca="false">CASA!A11</f>
        <v>Seguro del hogar</v>
      </c>
      <c r="B113" s="91" t="n">
        <f aca="false">CASA!O11</f>
        <v>12.3333333333333</v>
      </c>
      <c r="C113" s="91" t="n">
        <f aca="false">CASA!N11</f>
        <v>148</v>
      </c>
      <c r="D113" s="96" t="n">
        <f aca="false">CASA!P11</f>
        <v>-0</v>
      </c>
    </row>
    <row r="114" customFormat="false" ht="15" hidden="false" customHeight="false" outlineLevel="0" collapsed="false">
      <c r="A114" s="35" t="str">
        <f aca="false">CASA!A12</f>
        <v>Mantenimiento del hogar</v>
      </c>
      <c r="B114" s="91" t="n">
        <f aca="false">CASA!O12</f>
        <v>0</v>
      </c>
      <c r="C114" s="91" t="n">
        <f aca="false">CASA!N12</f>
        <v>0</v>
      </c>
      <c r="D114" s="96" t="n">
        <f aca="false">CASA!P12</f>
        <v>-0</v>
      </c>
    </row>
    <row r="116" customFormat="false" ht="15" hidden="false" customHeight="false" outlineLevel="0" collapsed="false">
      <c r="A116" s="88" t="s">
        <v>981</v>
      </c>
    </row>
    <row r="117" customFormat="false" ht="15" hidden="false" customHeight="false" outlineLevel="0" collapsed="false">
      <c r="A117" s="89" t="s">
        <v>961</v>
      </c>
      <c r="B117" s="89" t="s">
        <v>189</v>
      </c>
      <c r="C117" s="89" t="s">
        <v>608</v>
      </c>
      <c r="D117" s="89" t="s">
        <v>157</v>
      </c>
      <c r="E117" s="89" t="s">
        <v>210</v>
      </c>
      <c r="F117" s="89" t="s">
        <v>168</v>
      </c>
      <c r="G117" s="89" t="s">
        <v>609</v>
      </c>
      <c r="H117" s="89" t="s">
        <v>391</v>
      </c>
      <c r="I117" s="89" t="s">
        <v>610</v>
      </c>
    </row>
    <row r="118" customFormat="false" ht="15" hidden="false" customHeight="false" outlineLevel="0" collapsed="false">
      <c r="A118" s="95" t="n">
        <f aca="false">CASA!B4</f>
        <v>45931</v>
      </c>
      <c r="B118" s="96" t="n">
        <f aca="false">CASA!B5</f>
        <v>850</v>
      </c>
      <c r="C118" s="96" t="n">
        <f aca="false">CASA!B6</f>
        <v>-0</v>
      </c>
      <c r="D118" s="96" t="n">
        <f aca="false">CASA!B7</f>
        <v>37.38</v>
      </c>
      <c r="E118" s="96" t="n">
        <f aca="false">CASA!B8</f>
        <v>36.52</v>
      </c>
      <c r="F118" s="96" t="n">
        <f aca="false">CASA!B9</f>
        <v>39.9</v>
      </c>
      <c r="G118" s="96" t="n">
        <f aca="false">CASA!B10</f>
        <v>-0</v>
      </c>
      <c r="H118" s="96" t="n">
        <f aca="false">CASA!B11</f>
        <v>-0</v>
      </c>
      <c r="I118" s="96" t="n">
        <f aca="false">CASA!B12</f>
        <v>-0</v>
      </c>
    </row>
    <row r="119" customFormat="false" ht="15" hidden="false" customHeight="false" outlineLevel="0" collapsed="false">
      <c r="A119" s="95" t="n">
        <f aca="false">CASA!C4</f>
        <v>45962</v>
      </c>
      <c r="B119" s="96" t="n">
        <f aca="false">CASA!C5</f>
        <v>850</v>
      </c>
      <c r="C119" s="96" t="n">
        <f aca="false">CASA!C6</f>
        <v>-0</v>
      </c>
      <c r="D119" s="96" t="n">
        <f aca="false">CASA!C7</f>
        <v>50.32</v>
      </c>
      <c r="E119" s="96" t="n">
        <f aca="false">CASA!C8</f>
        <v>-0</v>
      </c>
      <c r="F119" s="96" t="n">
        <f aca="false">CASA!C9</f>
        <v>39.9</v>
      </c>
      <c r="G119" s="96" t="n">
        <f aca="false">CASA!C10</f>
        <v>-0</v>
      </c>
      <c r="H119" s="96" t="n">
        <f aca="false">CASA!C11</f>
        <v>-0</v>
      </c>
      <c r="I119" s="96" t="n">
        <f aca="false">CASA!C12</f>
        <v>-0</v>
      </c>
    </row>
    <row r="120" customFormat="false" ht="15" hidden="false" customHeight="false" outlineLevel="0" collapsed="false">
      <c r="A120" s="95" t="n">
        <f aca="false">CASA!D4</f>
        <v>45992</v>
      </c>
      <c r="B120" s="96" t="n">
        <f aca="false">CASA!D5</f>
        <v>850</v>
      </c>
      <c r="C120" s="96" t="n">
        <f aca="false">CASA!D6</f>
        <v>-0</v>
      </c>
      <c r="D120" s="96" t="n">
        <f aca="false">CASA!D7</f>
        <v>58.18</v>
      </c>
      <c r="E120" s="96" t="n">
        <f aca="false">CASA!D8</f>
        <v>32.13</v>
      </c>
      <c r="F120" s="96" t="n">
        <f aca="false">CASA!D9</f>
        <v>39.9</v>
      </c>
      <c r="G120" s="96" t="n">
        <f aca="false">CASA!D10</f>
        <v>-0</v>
      </c>
      <c r="H120" s="96" t="n">
        <f aca="false">CASA!D11</f>
        <v>-0</v>
      </c>
      <c r="I120" s="96" t="n">
        <f aca="false">CASA!D12</f>
        <v>-0</v>
      </c>
    </row>
    <row r="121" customFormat="false" ht="15" hidden="false" customHeight="false" outlineLevel="0" collapsed="false">
      <c r="A121" s="95" t="n">
        <f aca="false">CASA!E4</f>
        <v>46023</v>
      </c>
      <c r="B121" s="96" t="n">
        <f aca="false">CASA!E5</f>
        <v>850</v>
      </c>
      <c r="C121" s="96" t="n">
        <f aca="false">CASA!E6</f>
        <v>-0</v>
      </c>
      <c r="D121" s="96" t="n">
        <f aca="false">CASA!E7</f>
        <v>63.54</v>
      </c>
      <c r="E121" s="96" t="n">
        <f aca="false">CASA!E8</f>
        <v>-0</v>
      </c>
      <c r="F121" s="96" t="n">
        <f aca="false">CASA!E9</f>
        <v>39.9</v>
      </c>
      <c r="G121" s="96" t="n">
        <f aca="false">CASA!E10</f>
        <v>-0</v>
      </c>
      <c r="H121" s="96" t="n">
        <f aca="false">CASA!E11</f>
        <v>-0</v>
      </c>
      <c r="I121" s="96" t="n">
        <f aca="false">CASA!E12</f>
        <v>-0</v>
      </c>
    </row>
    <row r="122" customFormat="false" ht="15" hidden="false" customHeight="false" outlineLevel="0" collapsed="false">
      <c r="A122" s="95" t="n">
        <f aca="false">CASA!F4</f>
        <v>46054</v>
      </c>
      <c r="B122" s="96" t="n">
        <f aca="false">CASA!F5</f>
        <v>850</v>
      </c>
      <c r="C122" s="96" t="n">
        <f aca="false">CASA!F6</f>
        <v>-0</v>
      </c>
      <c r="D122" s="96" t="n">
        <f aca="false">CASA!F7</f>
        <v>49.8</v>
      </c>
      <c r="E122" s="96" t="n">
        <f aca="false">CASA!F8</f>
        <v>37.59</v>
      </c>
      <c r="F122" s="96" t="n">
        <f aca="false">CASA!F9</f>
        <v>39.9</v>
      </c>
      <c r="G122" s="96" t="n">
        <f aca="false">CASA!F10</f>
        <v>-0</v>
      </c>
      <c r="H122" s="96" t="n">
        <f aca="false">CASA!F11</f>
        <v>-0</v>
      </c>
      <c r="I122" s="96" t="n">
        <f aca="false">CASA!F12</f>
        <v>-0</v>
      </c>
    </row>
    <row r="123" customFormat="false" ht="15" hidden="false" customHeight="false" outlineLevel="0" collapsed="false">
      <c r="A123" s="95" t="n">
        <f aca="false">CASA!G4</f>
        <v>46082</v>
      </c>
      <c r="B123" s="96" t="n">
        <f aca="false">CASA!G5</f>
        <v>850</v>
      </c>
      <c r="C123" s="96" t="n">
        <f aca="false">CASA!G6</f>
        <v>-0</v>
      </c>
      <c r="D123" s="96" t="n">
        <f aca="false">CASA!G7</f>
        <v>40.63</v>
      </c>
      <c r="E123" s="96" t="n">
        <f aca="false">CASA!G8</f>
        <v>-0</v>
      </c>
      <c r="F123" s="96" t="n">
        <f aca="false">CASA!G9</f>
        <v>39.9</v>
      </c>
      <c r="G123" s="96" t="n">
        <f aca="false">CASA!G10</f>
        <v>-0</v>
      </c>
      <c r="H123" s="96" t="n">
        <f aca="false">CASA!G11</f>
        <v>148</v>
      </c>
      <c r="I123" s="96" t="n">
        <f aca="false">CASA!G12</f>
        <v>-0</v>
      </c>
    </row>
    <row r="124" customFormat="false" ht="15" hidden="false" customHeight="false" outlineLevel="0" collapsed="false">
      <c r="A124" s="95" t="n">
        <f aca="false">CASA!H4</f>
        <v>46113</v>
      </c>
      <c r="B124" s="96" t="n">
        <f aca="false">CASA!H5</f>
        <v>850</v>
      </c>
      <c r="C124" s="96" t="n">
        <f aca="false">CASA!H6</f>
        <v>-0</v>
      </c>
      <c r="D124" s="96" t="n">
        <f aca="false">CASA!H7</f>
        <v>36.17</v>
      </c>
      <c r="E124" s="96" t="n">
        <f aca="false">CASA!H8</f>
        <v>34</v>
      </c>
      <c r="F124" s="96" t="n">
        <f aca="false">CASA!H9</f>
        <v>39.9</v>
      </c>
      <c r="G124" s="96" t="n">
        <f aca="false">CASA!H10</f>
        <v>-0</v>
      </c>
      <c r="H124" s="96" t="n">
        <f aca="false">CASA!H11</f>
        <v>-0</v>
      </c>
      <c r="I124" s="96" t="n">
        <f aca="false">CASA!H12</f>
        <v>-0</v>
      </c>
    </row>
    <row r="125" customFormat="false" ht="15" hidden="false" customHeight="false" outlineLevel="0" collapsed="false">
      <c r="A125" s="95" t="n">
        <f aca="false">CASA!I4</f>
        <v>46143</v>
      </c>
      <c r="B125" s="96" t="n">
        <f aca="false">CASA!I5</f>
        <v>850</v>
      </c>
      <c r="C125" s="96" t="n">
        <f aca="false">CASA!I6</f>
        <v>-0</v>
      </c>
      <c r="D125" s="96" t="n">
        <f aca="false">CASA!I7</f>
        <v>47.6</v>
      </c>
      <c r="E125" s="96" t="n">
        <f aca="false">CASA!I8</f>
        <v>-0</v>
      </c>
      <c r="F125" s="96" t="n">
        <f aca="false">CASA!I9</f>
        <v>39.9</v>
      </c>
      <c r="G125" s="96" t="n">
        <f aca="false">CASA!I10</f>
        <v>-0</v>
      </c>
      <c r="H125" s="96" t="n">
        <f aca="false">CASA!I11</f>
        <v>-0</v>
      </c>
      <c r="I125" s="96" t="n">
        <f aca="false">CASA!I12</f>
        <v>-0</v>
      </c>
    </row>
    <row r="126" customFormat="false" ht="15" hidden="false" customHeight="false" outlineLevel="0" collapsed="false">
      <c r="A126" s="95" t="n">
        <f aca="false">CASA!J4</f>
        <v>46174</v>
      </c>
      <c r="B126" s="96" t="n">
        <f aca="false">CASA!J5</f>
        <v>850</v>
      </c>
      <c r="C126" s="96" t="n">
        <f aca="false">CASA!J6</f>
        <v>-0</v>
      </c>
      <c r="D126" s="96" t="n">
        <f aca="false">CASA!J7</f>
        <v>50.74</v>
      </c>
      <c r="E126" s="96" t="n">
        <f aca="false">CASA!J8</f>
        <v>35.69</v>
      </c>
      <c r="F126" s="96" t="n">
        <f aca="false">CASA!J9</f>
        <v>39.9</v>
      </c>
      <c r="G126" s="96" t="n">
        <f aca="false">CASA!J10</f>
        <v>-0</v>
      </c>
      <c r="H126" s="96" t="n">
        <f aca="false">CASA!J11</f>
        <v>-0</v>
      </c>
      <c r="I126" s="96" t="n">
        <f aca="false">CASA!J12</f>
        <v>-0</v>
      </c>
    </row>
    <row r="127" customFormat="false" ht="15" hidden="false" customHeight="false" outlineLevel="0" collapsed="false">
      <c r="A127" s="95" t="n">
        <f aca="false">CASA!K4</f>
        <v>46204</v>
      </c>
      <c r="B127" s="96" t="n">
        <f aca="false">CASA!K5</f>
        <v>850</v>
      </c>
      <c r="C127" s="96" t="n">
        <f aca="false">CASA!K6</f>
        <v>-0</v>
      </c>
      <c r="D127" s="96" t="n">
        <f aca="false">CASA!K7</f>
        <v>42.64</v>
      </c>
      <c r="E127" s="96" t="n">
        <f aca="false">CASA!K8</f>
        <v>-0</v>
      </c>
      <c r="F127" s="96" t="n">
        <f aca="false">CASA!K9</f>
        <v>39.9</v>
      </c>
      <c r="G127" s="96" t="n">
        <f aca="false">CASA!K10</f>
        <v>-0</v>
      </c>
      <c r="H127" s="96" t="n">
        <f aca="false">CASA!K11</f>
        <v>-0</v>
      </c>
      <c r="I127" s="96" t="n">
        <f aca="false">CASA!K12</f>
        <v>-0</v>
      </c>
    </row>
    <row r="128" customFormat="false" ht="15" hidden="false" customHeight="false" outlineLevel="0" collapsed="false">
      <c r="A128" s="95" t="n">
        <f aca="false">CASA!L4</f>
        <v>46235</v>
      </c>
      <c r="B128" s="96" t="n">
        <f aca="false">CASA!L5</f>
        <v>850</v>
      </c>
      <c r="C128" s="96" t="n">
        <f aca="false">CASA!L6</f>
        <v>-0</v>
      </c>
      <c r="D128" s="96" t="n">
        <f aca="false">CASA!L7</f>
        <v>77.32</v>
      </c>
      <c r="E128" s="96" t="n">
        <f aca="false">CASA!L8</f>
        <v>37.55</v>
      </c>
      <c r="F128" s="96" t="n">
        <f aca="false">CASA!L9</f>
        <v>39.9</v>
      </c>
      <c r="G128" s="96" t="n">
        <f aca="false">CASA!L10</f>
        <v>-0</v>
      </c>
      <c r="H128" s="96" t="n">
        <f aca="false">CASA!L11</f>
        <v>-0</v>
      </c>
      <c r="I128" s="96" t="n">
        <f aca="false">CASA!L12</f>
        <v>-0</v>
      </c>
    </row>
    <row r="129" customFormat="false" ht="15" hidden="false" customHeight="false" outlineLevel="0" collapsed="false">
      <c r="A129" s="95" t="n">
        <f aca="false">CASA!M4</f>
        <v>46266</v>
      </c>
      <c r="B129" s="96" t="n">
        <f aca="false">CASA!M5</f>
        <v>850</v>
      </c>
      <c r="C129" s="96" t="n">
        <f aca="false">CASA!M6</f>
        <v>-0</v>
      </c>
      <c r="D129" s="96" t="n">
        <f aca="false">CASA!M7</f>
        <v>38.08</v>
      </c>
      <c r="E129" s="96" t="n">
        <f aca="false">CASA!M8</f>
        <v>-0</v>
      </c>
      <c r="F129" s="96" t="n">
        <f aca="false">CASA!M9</f>
        <v>39.9</v>
      </c>
      <c r="G129" s="96" t="n">
        <f aca="false">CASA!M10</f>
        <v>-0</v>
      </c>
      <c r="H129" s="96" t="n">
        <f aca="false">CASA!M11</f>
        <v>-0</v>
      </c>
      <c r="I129" s="96" t="n">
        <f aca="false">CASA!M12</f>
        <v>-0</v>
      </c>
    </row>
    <row r="131" customFormat="false" ht="15" hidden="false" customHeight="false" outlineLevel="0" collapsed="false">
      <c r="A131" s="88" t="s">
        <v>982</v>
      </c>
    </row>
    <row r="132" customFormat="false" ht="15" hidden="false" customHeight="false" outlineLevel="0" collapsed="false">
      <c r="A132" s="89" t="s">
        <v>942</v>
      </c>
      <c r="B132" s="89" t="s">
        <v>983</v>
      </c>
      <c r="C132" s="89" t="s">
        <v>984</v>
      </c>
      <c r="D132" s="89" t="s">
        <v>985</v>
      </c>
      <c r="E132" s="89" t="s">
        <v>986</v>
      </c>
      <c r="F132" s="89" t="s">
        <v>934</v>
      </c>
      <c r="G132" s="89" t="s">
        <v>987</v>
      </c>
    </row>
    <row r="133" customFormat="false" ht="15" hidden="false" customHeight="false" outlineLevel="0" collapsed="false">
      <c r="A133" s="93" t="n">
        <f aca="false">PROYECCIÓN!B15</f>
        <v>41</v>
      </c>
      <c r="B133" s="91" t="n">
        <f aca="false">PROYECCIÓN!G15</f>
        <v>67957.06</v>
      </c>
      <c r="C133" s="91" t="n">
        <f aca="false">PROYECCIÓN!O15</f>
        <v>12957.06</v>
      </c>
      <c r="D133" s="91" t="n">
        <f aca="false">PROYECCIÓN!T15</f>
        <v>67957.06</v>
      </c>
      <c r="E133" s="91" t="n">
        <f aca="false">PROYECCIÓN!U15</f>
        <v>51857.06</v>
      </c>
      <c r="F133" s="92" t="n">
        <f aca="false">PROYECCIÓN!M15</f>
        <v>0.137241312108748</v>
      </c>
      <c r="G133" s="92" t="n">
        <f aca="false">PROYECCIÓN!Q15</f>
        <v>0.0261671696137498</v>
      </c>
    </row>
    <row r="134" customFormat="false" ht="15" hidden="false" customHeight="false" outlineLevel="0" collapsed="false">
      <c r="A134" s="93" t="n">
        <f aca="false">PROYECCIÓN!B16</f>
        <v>42</v>
      </c>
      <c r="B134" s="91" t="n">
        <f aca="false">PROYECCIÓN!G16</f>
        <v>80085.38</v>
      </c>
      <c r="C134" s="91" t="n">
        <f aca="false">PROYECCIÓN!O16</f>
        <v>22597.4963746179</v>
      </c>
      <c r="D134" s="91" t="n">
        <f aca="false">PROYECCIÓN!T16</f>
        <v>80085.38</v>
      </c>
      <c r="E134" s="91" t="n">
        <f aca="false">PROYECCIÓN!U16</f>
        <v>73104.6858349719</v>
      </c>
      <c r="F134" s="92" t="n">
        <f aca="false">PROYECCIÓN!M16</f>
        <v>0.157790064920373</v>
      </c>
      <c r="G134" s="92" t="n">
        <f aca="false">PROYECCIÓN!Q16</f>
        <v>0.0917967267321975</v>
      </c>
    </row>
    <row r="135" customFormat="false" ht="15" hidden="false" customHeight="false" outlineLevel="0" collapsed="false">
      <c r="A135" s="93" t="n">
        <f aca="false">PROYECCIÓN!B17</f>
        <v>43</v>
      </c>
      <c r="B135" s="91" t="n">
        <f aca="false">PROYECCIÓN!G17</f>
        <v>92520.6053604083</v>
      </c>
      <c r="C135" s="91" t="n">
        <f aca="false">PROYECCIÓN!O17</f>
        <v>32681.818928375</v>
      </c>
      <c r="D135" s="91" t="n">
        <f aca="false">PROYECCIÓN!T17</f>
        <v>92520.6053604083</v>
      </c>
      <c r="E135" s="91" t="n">
        <f aca="false">PROYECCIÓN!U17</f>
        <v>95141.3520389348</v>
      </c>
      <c r="F135" s="92" t="n">
        <f aca="false">PROYECCIÓN!M17</f>
        <v>0.177844735770274</v>
      </c>
      <c r="G135" s="92" t="n">
        <f aca="false">PROYECCIÓN!Q17</f>
        <v>0.129523694671228</v>
      </c>
    </row>
    <row r="136" customFormat="false" ht="15" hidden="false" customHeight="false" outlineLevel="0" collapsed="false">
      <c r="A136" s="93" t="n">
        <f aca="false">PROYECCIÓN!B18</f>
        <v>44</v>
      </c>
      <c r="B136" s="91" t="n">
        <f aca="false">PROYECCIÓN!G18</f>
        <v>105269.2585726</v>
      </c>
      <c r="C136" s="91" t="n">
        <f aca="false">PROYECCIÓN!O18</f>
        <v>43229.9335685833</v>
      </c>
      <c r="D136" s="91" t="n">
        <f aca="false">PROYECCIÓN!T18</f>
        <v>105269.2585726</v>
      </c>
      <c r="E136" s="91" t="n">
        <f aca="false">PROYECCIÓN!U18</f>
        <v>117997.229171935</v>
      </c>
      <c r="F136" s="92" t="n">
        <f aca="false">PROYECCIÓN!M18</f>
        <v>0.197415045191475</v>
      </c>
      <c r="G136" s="92" t="n">
        <f aca="false">PROYECCIÓN!Q18</f>
        <v>0.167148971053772</v>
      </c>
    </row>
    <row r="137" customFormat="false" ht="15" hidden="false" customHeight="false" outlineLevel="0" collapsed="false">
      <c r="A137" s="93" t="n">
        <f aca="false">PROYECCIÓN!B19</f>
        <v>45</v>
      </c>
      <c r="B137" s="91" t="n">
        <f aca="false">PROYECCIÓN!G19</f>
        <v>118337.994874229</v>
      </c>
      <c r="C137" s="91" t="n">
        <f aca="false">PROYECCIÓN!O19</f>
        <v>54262.711479004</v>
      </c>
      <c r="D137" s="91" t="n">
        <f aca="false">PROYECCIÓN!T19</f>
        <v>118337.994874229</v>
      </c>
      <c r="E137" s="91" t="n">
        <f aca="false">PROYECCIÓN!U19</f>
        <v>141703.758365873</v>
      </c>
      <c r="F137" s="92" t="n">
        <f aca="false">PROYECCIÓN!M19</f>
        <v>0.216510530607475</v>
      </c>
      <c r="G137" s="92" t="n">
        <f aca="false">PROYECCIÓN!Q19</f>
        <v>0.204690065686104</v>
      </c>
    </row>
    <row r="138" customFormat="false" ht="15" hidden="false" customHeight="false" outlineLevel="0" collapsed="false">
      <c r="A138" s="93" t="n">
        <f aca="false">PROYECCIÓN!B20</f>
        <v>46</v>
      </c>
      <c r="B138" s="91" t="n">
        <f aca="false">PROYECCIÓN!G20</f>
        <v>131733.604917869</v>
      </c>
      <c r="C138" s="91" t="n">
        <f aca="false">PROYECCIÓN!O20</f>
        <v>65802.0374989856</v>
      </c>
      <c r="D138" s="91" t="n">
        <f aca="false">PROYECCIÓN!T20</f>
        <v>131733.604917869</v>
      </c>
      <c r="E138" s="91" t="n">
        <f aca="false">PROYECCIÓN!U20</f>
        <v>166293.708784793</v>
      </c>
      <c r="F138" s="92" t="n">
        <f aca="false">PROYECCIÓN!M20</f>
        <v>0.235140549744135</v>
      </c>
      <c r="G138" s="92" t="n">
        <f aca="false">PROYECCIÓN!Q20</f>
        <v>0.242164651460802</v>
      </c>
    </row>
    <row r="139" customFormat="false" ht="15" hidden="false" customHeight="false" outlineLevel="0" collapsed="false">
      <c r="A139" s="93" t="n">
        <f aca="false">PROYECCIÓN!B21</f>
        <v>47</v>
      </c>
      <c r="B139" s="91" t="n">
        <f aca="false">PROYECCIÓN!G21</f>
        <v>145463.01749312</v>
      </c>
      <c r="C139" s="91" t="n">
        <f aca="false">PROYECCIÓN!O21</f>
        <v>77870.8609436816</v>
      </c>
      <c r="D139" s="91" t="n">
        <f aca="false">PROYECCIÓN!T21</f>
        <v>145463.01749312</v>
      </c>
      <c r="E139" s="91" t="n">
        <f aca="false">PROYECCIÓN!U21</f>
        <v>191801.237796408</v>
      </c>
      <c r="F139" s="92" t="n">
        <f aca="false">PROYECCIÓN!M21</f>
        <v>0.253314283978162</v>
      </c>
      <c r="G139" s="92" t="n">
        <f aca="false">PROYECCIÓN!Q21</f>
        <v>0.279590569979078</v>
      </c>
    </row>
    <row r="140" customFormat="false" ht="15" hidden="false" customHeight="false" outlineLevel="0" collapsed="false">
      <c r="A140" s="93" t="n">
        <f aca="false">PROYECCIÓN!B22</f>
        <v>48</v>
      </c>
      <c r="B140" s="91" t="n">
        <f aca="false">PROYECCIÓN!G22</f>
        <v>159533.302303227</v>
      </c>
      <c r="C140" s="91" t="n">
        <f aca="false">PROYECCIÓN!O22</f>
        <v>90493.24898835</v>
      </c>
      <c r="D140" s="91" t="n">
        <f aca="false">PROYECCIÓN!T22</f>
        <v>159533.302303227</v>
      </c>
      <c r="E140" s="91" t="n">
        <f aca="false">PROYECCIÓN!U22</f>
        <v>218261.95398589</v>
      </c>
      <c r="F140" s="92" t="n">
        <f aca="false">PROYECCIÓN!M22</f>
        <v>0.271040741623386</v>
      </c>
      <c r="G140" s="92" t="n">
        <f aca="false">PROYECCIÓN!Q22</f>
        <v>0.316985837362255</v>
      </c>
    </row>
    <row r="141" customFormat="false" ht="15" hidden="false" customHeight="false" outlineLevel="0" collapsed="false">
      <c r="A141" s="93" t="n">
        <f aca="false">PROYECCIÓN!B23</f>
        <v>49</v>
      </c>
      <c r="B141" s="91" t="n">
        <f aca="false">PROYECCIÓN!G23</f>
        <v>173951.672797323</v>
      </c>
      <c r="C141" s="91" t="n">
        <f aca="false">PROYECCIÓN!O23</f>
        <v>103694.442745921</v>
      </c>
      <c r="D141" s="91" t="n">
        <f aca="false">PROYECCIÓN!T23</f>
        <v>173951.672797323</v>
      </c>
      <c r="E141" s="91" t="n">
        <f aca="false">PROYECCIÓN!U23</f>
        <v>245712.983149396</v>
      </c>
      <c r="F141" s="92" t="n">
        <f aca="false">PROYECCIÓN!M23</f>
        <v>0.288328761155966</v>
      </c>
      <c r="G141" s="92" t="n">
        <f aca="false">PROYECCIÓN!Q23</f>
        <v>0.354368650254</v>
      </c>
    </row>
    <row r="142" customFormat="false" ht="15" hidden="false" customHeight="false" outlineLevel="0" collapsed="false">
      <c r="A142" s="93" t="n">
        <f aca="false">PROYECCIÓN!B24</f>
        <v>50</v>
      </c>
      <c r="B142" s="91" t="n">
        <f aca="false">PROYECCIÓN!G24</f>
        <v>188725.489059398</v>
      </c>
      <c r="C142" s="91" t="n">
        <f aca="false">PROYECCIÓN!O24</f>
        <v>117500.91617351</v>
      </c>
      <c r="D142" s="91" t="n">
        <f aca="false">PROYECCIÓN!T24</f>
        <v>188725.489059398</v>
      </c>
      <c r="E142" s="91" t="n">
        <f aca="false">PROYECCIÓN!U24</f>
        <v>274193.037411524</v>
      </c>
      <c r="F142" s="92" t="n">
        <f aca="false">PROYECCIÓN!M24</f>
        <v>0.30518701437968</v>
      </c>
      <c r="G142" s="92" t="n">
        <f aca="false">PROYECCIÓN!Q24</f>
        <v>0.391757392015091</v>
      </c>
    </row>
    <row r="143" customFormat="false" ht="15" hidden="false" customHeight="false" outlineLevel="0" collapsed="false">
      <c r="A143" s="93" t="n">
        <f aca="false">PROYECCIÓN!B25</f>
        <v>51</v>
      </c>
      <c r="B143" s="91" t="n">
        <f aca="false">PROYECCIÓN!G25</f>
        <v>203862.260755129</v>
      </c>
      <c r="C143" s="91" t="n">
        <f aca="false">PROYECCIÓN!O25</f>
        <v>131940.437950368</v>
      </c>
      <c r="D143" s="91" t="n">
        <f aca="false">PROYECCIÓN!T25</f>
        <v>203862.260755129</v>
      </c>
      <c r="E143" s="91" t="n">
        <f aca="false">PROYECCIÓN!U25</f>
        <v>303742.487617976</v>
      </c>
      <c r="F143" s="92" t="n">
        <f aca="false">PROYECCIÓN!M25</f>
        <v>0.321624009532384</v>
      </c>
      <c r="G143" s="92" t="n">
        <f aca="false">PROYECCIÓN!Q25</f>
        <v>0.429170639112609</v>
      </c>
    </row>
    <row r="144" customFormat="false" ht="15" hidden="false" customHeight="false" outlineLevel="0" collapsed="false">
      <c r="A144" s="93" t="n">
        <f aca="false">PROYECCIÓN!B26</f>
        <v>52</v>
      </c>
      <c r="B144" s="91" t="n">
        <f aca="false">PROYECCIÓN!G26</f>
        <v>219369.650137735</v>
      </c>
      <c r="C144" s="91" t="n">
        <f aca="false">PROYECCIÓN!O26</f>
        <v>147042.136476926</v>
      </c>
      <c r="D144" s="91" t="n">
        <f aca="false">PROYECCIÓN!T26</f>
        <v>219369.650137735</v>
      </c>
      <c r="E144" s="91" t="n">
        <f aca="false">PROYECCIÓN!U26</f>
        <v>334403.439162112</v>
      </c>
      <c r="F144" s="92" t="n">
        <f aca="false">PROYECCIÓN!M26</f>
        <v>0.337648094334762</v>
      </c>
      <c r="G144" s="92" t="n">
        <f aca="false">PROYECCIÓN!Q26</f>
        <v>0.466627167705629</v>
      </c>
    </row>
    <row r="145" customFormat="false" ht="15" hidden="false" customHeight="false" outlineLevel="0" collapsed="false">
      <c r="A145" s="93" t="n">
        <f aca="false">PROYECCIÓN!B27</f>
        <v>53</v>
      </c>
      <c r="B145" s="91" t="n">
        <f aca="false">PROYECCIÓN!G27</f>
        <v>235255.475114027</v>
      </c>
      <c r="C145" s="91" t="n">
        <f aca="false">PROYECCIÓN!O27</f>
        <v>162836.568152109</v>
      </c>
      <c r="D145" s="91" t="n">
        <f aca="false">PROYECCIÓN!T27</f>
        <v>235255.475114027</v>
      </c>
      <c r="E145" s="91" t="n">
        <f aca="false">PROYECCIÓN!U27</f>
        <v>366219.81141188</v>
      </c>
      <c r="F145" s="92" t="n">
        <f aca="false">PROYECCIÓN!M27</f>
        <v>0.35326745898242</v>
      </c>
      <c r="G145" s="92" t="n">
        <f aca="false">PROYECCIÓN!Q27</f>
        <v>0.504145960429589</v>
      </c>
    </row>
    <row r="146" customFormat="false" ht="15" hidden="false" customHeight="false" outlineLevel="0" collapsed="false">
      <c r="A146" s="93" t="n">
        <f aca="false">PROYECCIÓN!B28</f>
        <v>54</v>
      </c>
      <c r="B146" s="91" t="n">
        <f aca="false">PROYECCIÓN!G28</f>
        <v>251527.712371878</v>
      </c>
      <c r="C146" s="91" t="n">
        <f aca="false">PROYECCIÓN!O28</f>
        <v>179355.789093976</v>
      </c>
      <c r="D146" s="91" t="n">
        <f aca="false">PROYECCIÓN!T28</f>
        <v>251527.712371878</v>
      </c>
      <c r="E146" s="91" t="n">
        <f aca="false">PROYECCIÓN!U28</f>
        <v>399237.420911772</v>
      </c>
      <c r="F146" s="92" t="n">
        <f aca="false">PROYECCIÓN!M28</f>
        <v>0.368490139082373</v>
      </c>
      <c r="G146" s="92" t="n">
        <f aca="false">PROYECCIÓN!Q28</f>
        <v>0.541746213381708</v>
      </c>
    </row>
    <row r="147" customFormat="false" ht="15" hidden="false" customHeight="false" outlineLevel="0" collapsed="false">
      <c r="A147" s="93" t="n">
        <f aca="false">PROYECCIÓN!B29</f>
        <v>55</v>
      </c>
      <c r="B147" s="91" t="n">
        <f aca="false">PROYECCIÓN!G29</f>
        <v>268194.500570308</v>
      </c>
      <c r="C147" s="91" t="n">
        <f aca="false">PROYECCIÓN!O29</f>
        <v>196633.430477062</v>
      </c>
      <c r="D147" s="91" t="n">
        <f aca="false">PROYECCIÓN!T29</f>
        <v>268194.500570308</v>
      </c>
      <c r="E147" s="91" t="n">
        <f aca="false">PROYECCIÓN!U29</f>
        <v>433504.068543031</v>
      </c>
      <c r="F147" s="92" t="n">
        <f aca="false">PROYECCIÓN!M29</f>
        <v>0.383324018534977</v>
      </c>
      <c r="G147" s="92" t="n">
        <f aca="false">PROYECCIÓN!Q29</f>
        <v>0.579447343309924</v>
      </c>
    </row>
    <row r="148" customFormat="false" ht="15" hidden="false" customHeight="false" outlineLevel="0" collapsed="false">
      <c r="A148" s="93" t="n">
        <f aca="false">PROYECCIÓN!B30</f>
        <v>56</v>
      </c>
      <c r="B148" s="91" t="n">
        <f aca="false">PROYECCIÓN!G30</f>
        <v>285264.14359348</v>
      </c>
      <c r="C148" s="91" t="n">
        <f aca="false">PROYECCIÓN!O30</f>
        <v>214704.77766847</v>
      </c>
      <c r="D148" s="91" t="n">
        <f aca="false">PROYECCIÓN!T30</f>
        <v>285264.14359348</v>
      </c>
      <c r="E148" s="91" t="n">
        <f aca="false">PROYECCIÓN!U30</f>
        <v>469069.630834339</v>
      </c>
      <c r="F148" s="92" t="n">
        <f aca="false">PROYECCIÓN!M30</f>
        <v>0.397776832362297</v>
      </c>
      <c r="G148" s="92" t="n">
        <f aca="false">PROYECCIÓN!Q30</f>
        <v>0.617268995008015</v>
      </c>
    </row>
    <row r="149" customFormat="false" ht="15" hidden="false" customHeight="false" outlineLevel="0" collapsed="false">
      <c r="A149" s="93" t="n">
        <f aca="false">PROYECCIÓN!B31</f>
        <v>57</v>
      </c>
      <c r="B149" s="91" t="n">
        <f aca="false">PROYECCIÓN!G31</f>
        <v>302745.113869845</v>
      </c>
      <c r="C149" s="91" t="n">
        <f aca="false">PROYECCIÓN!O31</f>
        <v>233606.853353941</v>
      </c>
      <c r="D149" s="91" t="n">
        <f aca="false">PROYECCIÓN!T31</f>
        <v>302745.113869845</v>
      </c>
      <c r="E149" s="91" t="n">
        <f aca="false">PROYECCIÓN!U31</f>
        <v>505986.155624665</v>
      </c>
      <c r="F149" s="92" t="n">
        <f aca="false">PROYECCIÓN!M31</f>
        <v>0.411856169483921</v>
      </c>
      <c r="G149" s="92" t="n">
        <f aca="false">PROYECCIÓN!Q31</f>
        <v>0.655231048919674</v>
      </c>
    </row>
    <row r="150" customFormat="false" ht="15" hidden="false" customHeight="false" outlineLevel="0" collapsed="false">
      <c r="A150" s="93" t="n">
        <f aca="false">PROYECCIÓN!B32</f>
        <v>58</v>
      </c>
      <c r="B150" s="91" t="n">
        <f aca="false">PROYECCIÓN!G32</f>
        <v>320646.055757767</v>
      </c>
      <c r="C150" s="91" t="n">
        <f aca="false">PROYECCIÓN!O32</f>
        <v>253378.504854691</v>
      </c>
      <c r="D150" s="91" t="n">
        <f aca="false">PROYECCIÓN!T32</f>
        <v>320646.055757767</v>
      </c>
      <c r="E150" s="91" t="n">
        <f aca="false">PROYECCIÓN!U32</f>
        <v>544307.962289846</v>
      </c>
      <c r="F150" s="92" t="n">
        <f aca="false">PROYECCIÓN!M32</f>
        <v>0.425569475441186</v>
      </c>
      <c r="G150" s="92" t="n">
        <f aca="false">PROYECCIÓN!Q32</f>
        <v>0.693353628954505</v>
      </c>
    </row>
    <row r="151" customFormat="false" ht="15" hidden="false" customHeight="false" outlineLevel="0" collapsed="false">
      <c r="A151" s="93" t="n">
        <f aca="false">PROYECCIÓN!B33</f>
        <v>59</v>
      </c>
      <c r="B151" s="91" t="n">
        <f aca="false">PROYECCIÓN!G33</f>
        <v>338975.788998942</v>
      </c>
      <c r="C151" s="91" t="n">
        <f aca="false">PROYECCIÓN!O33</f>
        <v>274060.495845936</v>
      </c>
      <c r="D151" s="91" t="n">
        <f aca="false">PROYECCIÓN!T33</f>
        <v>338975.788998942</v>
      </c>
      <c r="E151" s="91" t="n">
        <f aca="false">PROYECCIÓN!U33</f>
        <v>584091.746754912</v>
      </c>
      <c r="F151" s="92" t="n">
        <f aca="false">PROYECCIÓN!M33</f>
        <v>0.438924055070781</v>
      </c>
      <c r="G151" s="92" t="n">
        <f aca="false">PROYECCIÓN!Q33</f>
        <v>0.731657110519013</v>
      </c>
    </row>
    <row r="152" customFormat="false" ht="15" hidden="false" customHeight="false" outlineLevel="0" collapsed="false">
      <c r="A152" s="93" t="n">
        <f aca="false">PROYECCIÓN!B34</f>
        <v>60</v>
      </c>
      <c r="B152" s="91" t="n">
        <f aca="false">PROYECCIÓN!G34</f>
        <v>357743.312240983</v>
      </c>
      <c r="C152" s="91" t="n">
        <f aca="false">PROYECCIÓN!O34</f>
        <v>295695.602698566</v>
      </c>
      <c r="D152" s="91" t="n">
        <f aca="false">PROYECCIÓN!T34</f>
        <v>357743.312240983</v>
      </c>
      <c r="E152" s="91" t="n">
        <f aca="false">PROYECCIÓN!U34</f>
        <v>625396.691525048</v>
      </c>
      <c r="F152" s="92" t="n">
        <f aca="false">PROYECCIÓN!M34</f>
        <v>0.45192707512866</v>
      </c>
      <c r="G152" s="92" t="n">
        <f aca="false">PROYECCIÓN!Q34</f>
        <v>0.77016212876584</v>
      </c>
    </row>
    <row r="153" customFormat="false" ht="15" hidden="false" customHeight="false" outlineLevel="0" collapsed="false">
      <c r="A153" s="93" t="n">
        <f aca="false">PROYECCIÓN!B35</f>
        <v>61</v>
      </c>
      <c r="B153" s="91" t="n">
        <f aca="false">PROYECCIÓN!G35</f>
        <v>376957.806630537</v>
      </c>
      <c r="C153" s="91" t="n">
        <f aca="false">PROYECCIÓN!O35</f>
        <v>318328.715676579</v>
      </c>
      <c r="D153" s="91" t="n">
        <f aca="false">PROYECCIÓN!T35</f>
        <v>376957.806630537</v>
      </c>
      <c r="E153" s="91" t="n">
        <f aca="false">PROYECCIÓN!U35</f>
        <v>668284.580979566</v>
      </c>
      <c r="F153" s="92" t="n">
        <f aca="false">PROYECCIÓN!M35</f>
        <v>0.464585566865199</v>
      </c>
      <c r="G153" s="92" t="n">
        <f aca="false">PROYECCIÓN!Q35</f>
        <v>0.808889587064658</v>
      </c>
    </row>
    <row r="154" customFormat="false" ht="15" hidden="false" customHeight="false" outlineLevel="0" collapsed="false">
      <c r="A154" s="93" t="n">
        <f aca="false">PROYECCIÓN!B36</f>
        <v>62</v>
      </c>
      <c r="B154" s="91" t="n">
        <f aca="false">PROYECCIÓN!G36</f>
        <v>396628.639478358</v>
      </c>
      <c r="C154" s="91" t="n">
        <f aca="false">PROYECCIÓN!O36</f>
        <v>342006.945234557</v>
      </c>
      <c r="D154" s="91" t="n">
        <f aca="false">PROYECCIÓN!T36</f>
        <v>396628.639478358</v>
      </c>
      <c r="E154" s="91" t="n">
        <f aca="false">PROYECCIÓN!U36</f>
        <v>712819.922185297</v>
      </c>
      <c r="F154" s="92" t="n">
        <f aca="false">PROYECCIÓN!M36</f>
        <v>0.476906428552483</v>
      </c>
      <c r="G154" s="92" t="n">
        <f aca="false">PROYECCIÓN!Q36</f>
        <v>0.847860665698256</v>
      </c>
    </row>
    <row r="155" customFormat="false" ht="15" hidden="false" customHeight="false" outlineLevel="0" collapsed="false">
      <c r="A155" s="93" t="n">
        <f aca="false">PROYECCIÓN!B37</f>
        <v>63</v>
      </c>
      <c r="B155" s="91" t="n">
        <f aca="false">PROYECCIÓN!G37</f>
        <v>416765.367997772</v>
      </c>
      <c r="C155" s="91" t="n">
        <f aca="false">PROYECCIÓN!O37</f>
        <v>366779.733671716</v>
      </c>
      <c r="D155" s="91" t="n">
        <f aca="false">PROYECCIÓN!T37</f>
        <v>416765.367997772</v>
      </c>
      <c r="E155" s="91" t="n">
        <f aca="false">PROYECCIÓN!U37</f>
        <v>759070.071498393</v>
      </c>
      <c r="F155" s="92" t="n">
        <f aca="false">PROYECCIÓN!M37</f>
        <v>0.488896427964636</v>
      </c>
      <c r="G155" s="92" t="n">
        <f aca="false">PROYECCIÓN!Q37</f>
        <v>0.887096830787552</v>
      </c>
    </row>
    <row r="156" customFormat="false" ht="15" hidden="false" customHeight="false" outlineLevel="0" collapsed="false">
      <c r="A156" s="93" t="n">
        <f aca="false">PROYECCIÓN!B38</f>
        <v>64</v>
      </c>
      <c r="B156" s="91" t="n">
        <f aca="false">PROYECCIÓN!G38</f>
        <v>437377.743117999</v>
      </c>
      <c r="C156" s="91" t="n">
        <f aca="false">PROYECCIÓN!O38</f>
        <v>392698.972411958</v>
      </c>
      <c r="D156" s="91" t="n">
        <f aca="false">PROYECCIÓN!T38</f>
        <v>437377.743117999</v>
      </c>
      <c r="E156" s="91" t="n">
        <f aca="false">PROYECCIÓN!U38</f>
        <v>807105.367236837</v>
      </c>
      <c r="F156" s="92" t="n">
        <f aca="false">PROYECCIÓN!M38</f>
        <v>0.500562204812044</v>
      </c>
      <c r="G156" s="92" t="n">
        <f aca="false">PROYECCIÓN!Q38</f>
        <v>0.926619843449389</v>
      </c>
    </row>
    <row r="157" customFormat="false" ht="15" hidden="false" customHeight="false" outlineLevel="0" collapsed="false">
      <c r="A157" s="93" t="n">
        <f aca="false">PROYECCIÓN!B39</f>
        <v>65</v>
      </c>
      <c r="B157" s="91" t="n">
        <f aca="false">PROYECCIÓN!G39</f>
        <v>458475.713373837</v>
      </c>
      <c r="C157" s="91" t="n">
        <f aca="false">PROYECCIÓN!O39</f>
        <v>419819.125192855</v>
      </c>
      <c r="D157" s="91" t="n">
        <f aca="false">PROYECCIÓN!T39</f>
        <v>458475.713373837</v>
      </c>
      <c r="E157" s="91" t="n">
        <f aca="false">PROYECCIÓN!U39</f>
        <v>856999.2687198</v>
      </c>
      <c r="F157" s="92" t="n">
        <f aca="false">PROYECCIÓN!M39</f>
        <v>0.511910273130338</v>
      </c>
      <c r="G157" s="92" t="n">
        <f aca="false">PROYECCIÓN!Q39</f>
        <v>0.966451769191155</v>
      </c>
    </row>
    <row r="158" customFormat="false" ht="15" hidden="false" customHeight="false" outlineLevel="0" collapsed="false">
      <c r="A158" s="93" t="n">
        <f aca="false">PROYECCIÓN!B40</f>
        <v>66</v>
      </c>
      <c r="B158" s="91" t="n">
        <f aca="false">PROYECCIÓN!G40</f>
        <v>480069.428873229</v>
      </c>
      <c r="C158" s="91" t="n">
        <f aca="false">PROYECCIÓN!O40</f>
        <v>448197.357460701</v>
      </c>
      <c r="D158" s="91" t="n">
        <f aca="false">PROYECCIÓN!T40</f>
        <v>480069.428873229</v>
      </c>
      <c r="E158" s="91" t="n">
        <f aca="false">PROYECCIÓN!U40</f>
        <v>908828.501984628</v>
      </c>
      <c r="F158" s="92" t="n">
        <f aca="false">PROYECCIÓN!M40</f>
        <v>0.522947023624986</v>
      </c>
      <c r="G158" s="92" t="n">
        <f aca="false">PROYECCIÓN!Q40</f>
        <v>1.00661498754641</v>
      </c>
    </row>
    <row r="159" customFormat="false" ht="15" hidden="false" customHeight="false" outlineLevel="0" collapsed="false">
      <c r="A159" s="93" t="n">
        <f aca="false">PROYECCIÓN!B41</f>
        <v>67</v>
      </c>
      <c r="B159" s="91" t="n">
        <f aca="false">PROYECCIÓN!G41</f>
        <v>502169.24534427</v>
      </c>
      <c r="C159" s="91" t="n">
        <f aca="false">PROYECCIÓN!O41</f>
        <v>488086.555909073</v>
      </c>
      <c r="D159" s="91" t="n">
        <f aca="false">PROYECCIÓN!T41</f>
        <v>502169.24534427</v>
      </c>
      <c r="E159" s="91" t="n">
        <f aca="false">PROYECCIÓN!U41</f>
        <v>962536.634768719</v>
      </c>
      <c r="F159" s="92" t="n">
        <f aca="false">PROYECCIÓN!M41</f>
        <v>0.533678725972287</v>
      </c>
      <c r="G159" s="92" t="n">
        <f aca="false">PROYECCIÓN!Q41</f>
        <v>1.06946624254682</v>
      </c>
    </row>
    <row r="160" customFormat="false" ht="15" hidden="false" customHeight="false" outlineLevel="0" collapsed="false">
      <c r="A160" s="35" t="str">
        <f aca="false">PROYECCIÓN!B42</f>
        <v/>
      </c>
      <c r="B160" s="35" t="str">
        <f aca="false">PROYECCIÓN!G42</f>
        <v/>
      </c>
      <c r="C160" s="35" t="str">
        <f aca="false">PROYECCIÓN!O42</f>
        <v/>
      </c>
      <c r="D160" s="35" t="str">
        <f aca="false">PROYECCIÓN!T42</f>
        <v/>
      </c>
      <c r="E160" s="35" t="str">
        <f aca="false">PROYECCIÓN!U42</f>
        <v/>
      </c>
      <c r="F160" s="35" t="str">
        <f aca="false">PROYECCIÓN!M42</f>
        <v/>
      </c>
      <c r="G160" s="35" t="str">
        <f aca="false">PROYECCIÓN!Q42</f>
        <v/>
      </c>
    </row>
    <row r="161" customFormat="false" ht="15" hidden="false" customHeight="false" outlineLevel="0" collapsed="false">
      <c r="A161" s="35" t="str">
        <f aca="false">PROYECCIÓN!B43</f>
        <v/>
      </c>
      <c r="B161" s="35" t="str">
        <f aca="false">PROYECCIÓN!G43</f>
        <v/>
      </c>
      <c r="C161" s="35" t="str">
        <f aca="false">PROYECCIÓN!O43</f>
        <v/>
      </c>
      <c r="D161" s="35" t="str">
        <f aca="false">PROYECCIÓN!T43</f>
        <v/>
      </c>
      <c r="E161" s="35" t="str">
        <f aca="false">PROYECCIÓN!U43</f>
        <v/>
      </c>
      <c r="F161" s="35" t="str">
        <f aca="false">PROYECCIÓN!M43</f>
        <v/>
      </c>
      <c r="G161" s="35" t="str">
        <f aca="false">PROYECCIÓN!Q43</f>
        <v/>
      </c>
    </row>
    <row r="162" customFormat="false" ht="15" hidden="false" customHeight="false" outlineLevel="0" collapsed="false">
      <c r="A162" s="35" t="str">
        <f aca="false">PROYECCIÓN!B44</f>
        <v/>
      </c>
      <c r="B162" s="35" t="str">
        <f aca="false">PROYECCIÓN!G44</f>
        <v/>
      </c>
      <c r="C162" s="35" t="str">
        <f aca="false">PROYECCIÓN!O44</f>
        <v/>
      </c>
      <c r="D162" s="35" t="str">
        <f aca="false">PROYECCIÓN!T44</f>
        <v/>
      </c>
      <c r="E162" s="35" t="str">
        <f aca="false">PROYECCIÓN!U44</f>
        <v/>
      </c>
      <c r="F162" s="35" t="str">
        <f aca="false">PROYECCIÓN!M44</f>
        <v/>
      </c>
      <c r="G162" s="35" t="str">
        <f aca="false">PROYECCIÓN!Q44</f>
        <v/>
      </c>
    </row>
    <row r="163" customFormat="false" ht="15" hidden="false" customHeight="false" outlineLevel="0" collapsed="false">
      <c r="A163" s="35" t="str">
        <f aca="false">PROYECCIÓN!B45</f>
        <v/>
      </c>
      <c r="B163" s="35" t="str">
        <f aca="false">PROYECCIÓN!G45</f>
        <v/>
      </c>
      <c r="C163" s="35" t="str">
        <f aca="false">PROYECCIÓN!O45</f>
        <v/>
      </c>
      <c r="D163" s="35" t="str">
        <f aca="false">PROYECCIÓN!T45</f>
        <v/>
      </c>
      <c r="E163" s="35" t="str">
        <f aca="false">PROYECCIÓN!U45</f>
        <v/>
      </c>
      <c r="F163" s="35" t="str">
        <f aca="false">PROYECCIÓN!M45</f>
        <v/>
      </c>
      <c r="G163" s="35" t="str">
        <f aca="false">PROYECCIÓN!Q45</f>
        <v/>
      </c>
    </row>
    <row r="165" customFormat="false" ht="15" hidden="false" customHeight="false" outlineLevel="0" collapsed="false">
      <c r="A165" s="88" t="s">
        <v>988</v>
      </c>
    </row>
    <row r="166" customFormat="false" ht="15" hidden="false" customHeight="false" outlineLevel="0" collapsed="false">
      <c r="A166" s="89" t="s">
        <v>942</v>
      </c>
      <c r="B166" s="89" t="s">
        <v>989</v>
      </c>
      <c r="C166" s="89" t="s">
        <v>990</v>
      </c>
      <c r="D166" s="89" t="s">
        <v>991</v>
      </c>
      <c r="E166" s="89" t="s">
        <v>963</v>
      </c>
    </row>
    <row r="167" customFormat="false" ht="15" hidden="false" customHeight="false" outlineLevel="0" collapsed="false">
      <c r="A167" s="93" t="n">
        <f aca="false">PROYECCIÓN!B50</f>
        <v>67</v>
      </c>
      <c r="B167" s="91" t="n">
        <f aca="false">PROYECCIÓN!I50</f>
        <v>512851.126563905</v>
      </c>
      <c r="C167" s="91" t="n">
        <f aca="false">PROYECCIÓN!N50</f>
        <v>502729.152586345</v>
      </c>
      <c r="D167" s="35" t="n">
        <f aca="false">PROYECCIÓN!F50+PROYECCIÓN!G50</f>
        <v>33255.1222636536</v>
      </c>
      <c r="E167" s="91" t="n">
        <f aca="false">PROYECCIÓN!E50</f>
        <v>37638.3184043462</v>
      </c>
    </row>
    <row r="168" customFormat="false" ht="15" hidden="false" customHeight="false" outlineLevel="0" collapsed="false">
      <c r="A168" s="93" t="n">
        <f aca="false">PROYECCIÓN!B51</f>
        <v>68</v>
      </c>
      <c r="B168" s="91" t="n">
        <f aca="false">PROYECCIÓN!I51</f>
        <v>523743.884316612</v>
      </c>
      <c r="C168" s="91" t="n">
        <f aca="false">PROYECCIÓN!N51</f>
        <v>517811.027163936</v>
      </c>
      <c r="D168" s="35" t="n">
        <f aca="false">PROYECCIÓN!F51+PROYECCIÓN!G51</f>
        <v>34086.5003202449</v>
      </c>
      <c r="E168" s="91" t="n">
        <f aca="false">PROYECCIÓN!E51</f>
        <v>38579.2763644549</v>
      </c>
    </row>
    <row r="169" customFormat="false" ht="15" hidden="false" customHeight="false" outlineLevel="0" collapsed="false">
      <c r="A169" s="93" t="n">
        <f aca="false">PROYECCIÓN!B52</f>
        <v>69</v>
      </c>
      <c r="B169" s="91" t="n">
        <f aca="false">PROYECCIÓN!I52</f>
        <v>534851.105400795</v>
      </c>
      <c r="C169" s="91" t="n">
        <f aca="false">PROYECCIÓN!N52</f>
        <v>533345.357978854</v>
      </c>
      <c r="D169" s="35" t="n">
        <f aca="false">PROYECCIÓN!F52+PROYECCIÓN!G52</f>
        <v>34938.6628282511</v>
      </c>
      <c r="E169" s="91" t="n">
        <f aca="false">PROYECCIÓN!E52</f>
        <v>39543.7582735662</v>
      </c>
    </row>
    <row r="170" customFormat="false" ht="15" hidden="false" customHeight="false" outlineLevel="0" collapsed="false">
      <c r="A170" s="93" t="n">
        <f aca="false">PROYECCIÓN!B53</f>
        <v>70</v>
      </c>
      <c r="B170" s="91" t="n">
        <f aca="false">PROYECCIÓN!I53</f>
        <v>546176.415731371</v>
      </c>
      <c r="C170" s="91" t="n">
        <f aca="false">PROYECCIÓN!N53</f>
        <v>549345.718718219</v>
      </c>
      <c r="D170" s="35" t="n">
        <f aca="false">PROYECCIÓN!F53+PROYECCIÓN!G53</f>
        <v>35812.1293989573</v>
      </c>
      <c r="E170" s="91" t="n">
        <f aca="false">PROYECCIÓN!E53</f>
        <v>40532.3522304054</v>
      </c>
    </row>
    <row r="171" customFormat="false" ht="15" hidden="false" customHeight="false" outlineLevel="0" collapsed="false">
      <c r="A171" s="93" t="n">
        <f aca="false">PROYECCIÓN!B54</f>
        <v>71</v>
      </c>
      <c r="B171" s="91" t="n">
        <f aca="false">PROYECCIÓN!I54</f>
        <v>557723.479801078</v>
      </c>
      <c r="C171" s="91" t="n">
        <f aca="false">PROYECCIÓN!N54</f>
        <v>565826.090279766</v>
      </c>
      <c r="D171" s="35" t="n">
        <f aca="false">PROYECCIÓN!F54+PROYECCIÓN!G54</f>
        <v>36707.4326339313</v>
      </c>
      <c r="E171" s="91" t="n">
        <f aca="false">PROYECCIÓN!E54</f>
        <v>41545.6610361655</v>
      </c>
    </row>
    <row r="172" customFormat="false" ht="15" hidden="false" customHeight="false" outlineLevel="0" collapsed="false">
      <c r="A172" s="93" t="n">
        <f aca="false">PROYECCIÓN!B55</f>
        <v>72</v>
      </c>
      <c r="B172" s="91" t="n">
        <f aca="false">PROYECCIÓN!I55</f>
        <v>569496.00008282</v>
      </c>
      <c r="C172" s="91" t="n">
        <f aca="false">PROYECCIÓN!N55</f>
        <v>582800.872988159</v>
      </c>
      <c r="D172" s="35" t="n">
        <f aca="false">PROYECCIÓN!F55+PROYECCIÓN!G55</f>
        <v>37625.1184497795</v>
      </c>
      <c r="E172" s="91" t="n">
        <f aca="false">PROYECCIÓN!E55</f>
        <v>42584.3025620697</v>
      </c>
    </row>
    <row r="173" customFormat="false" ht="15" hidden="false" customHeight="false" outlineLevel="0" collapsed="false">
      <c r="A173" s="93" t="n">
        <f aca="false">PROYECCIÓN!B56</f>
        <v>73</v>
      </c>
      <c r="B173" s="91" t="n">
        <f aca="false">PROYECCIÓN!I56</f>
        <v>581497.716370208</v>
      </c>
      <c r="C173" s="91" t="n">
        <f aca="false">PROYECCIÓN!N56</f>
        <v>600284.899177804</v>
      </c>
      <c r="D173" s="35" t="n">
        <f aca="false">PROYECCIÓN!F56+PROYECCIÓN!G56</f>
        <v>38565.746411024</v>
      </c>
      <c r="E173" s="91" t="n">
        <f aca="false">PROYECCIÓN!E56</f>
        <v>43648.9101261214</v>
      </c>
    </row>
    <row r="174" customFormat="false" ht="15" hidden="false" customHeight="false" outlineLevel="0" collapsed="false">
      <c r="A174" s="93" t="n">
        <f aca="false">PROYECCIÓN!B57</f>
        <v>74</v>
      </c>
      <c r="B174" s="91" t="n">
        <f aca="false">PROYECCIÓN!I57</f>
        <v>593732.405053339</v>
      </c>
      <c r="C174" s="91" t="n">
        <f aca="false">PROYECCIÓN!N57</f>
        <v>618293.446153138</v>
      </c>
      <c r="D174" s="35" t="n">
        <f aca="false">PROYECCIÓN!F57+PROYECCIÓN!G57</f>
        <v>39529.8900712996</v>
      </c>
      <c r="E174" s="91" t="n">
        <f aca="false">PROYECCIÓN!E57</f>
        <v>44740.1328792744</v>
      </c>
    </row>
    <row r="175" customFormat="false" ht="15" hidden="false" customHeight="false" outlineLevel="0" collapsed="false">
      <c r="A175" s="93" t="n">
        <f aca="false">PROYECCIÓN!B58</f>
        <v>75</v>
      </c>
      <c r="B175" s="91" t="n">
        <f aca="false">PROYECCIÓN!I58</f>
        <v>606203.878326765</v>
      </c>
      <c r="C175" s="91" t="n">
        <f aca="false">PROYECCIÓN!N58</f>
        <v>636842.249537732</v>
      </c>
      <c r="D175" s="35" t="n">
        <f aca="false">PROYECCIÓN!F58+PROYECCIÓN!G58</f>
        <v>40518.1373230821</v>
      </c>
      <c r="E175" s="91" t="n">
        <f aca="false">PROYECCIÓN!E58</f>
        <v>45858.6362012563</v>
      </c>
    </row>
    <row r="176" customFormat="false" ht="15" hidden="false" customHeight="false" outlineLevel="0" collapsed="false">
      <c r="A176" s="93" t="n">
        <f aca="false">PROYECCIÓN!B59</f>
        <v>76</v>
      </c>
      <c r="B176" s="91" t="n">
        <f aca="false">PROYECCIÓN!I59</f>
        <v>618915.983326439</v>
      </c>
      <c r="C176" s="91" t="n">
        <f aca="false">PROYECCIÓN!N59</f>
        <v>655947.517023864</v>
      </c>
      <c r="D176" s="35" t="n">
        <f aca="false">PROYECCIÓN!F59+PROYECCIÓN!G59</f>
        <v>41531.0907561592</v>
      </c>
      <c r="E176" s="91" t="n">
        <f aca="false">PROYECCIÓN!E59</f>
        <v>47005.1021062877</v>
      </c>
    </row>
    <row r="177" customFormat="false" ht="15" hidden="false" customHeight="false" outlineLevel="0" collapsed="false">
      <c r="A177" s="93" t="n">
        <f aca="false">PROYECCIÓN!B60</f>
        <v>77</v>
      </c>
      <c r="B177" s="91" t="n">
        <f aca="false">PROYECCIÓN!I60</f>
        <v>631872.601192351</v>
      </c>
      <c r="C177" s="91" t="n">
        <f aca="false">PROYECCIÓN!N60</f>
        <v>675625.94253458</v>
      </c>
      <c r="D177" s="35" t="n">
        <f aca="false">PROYECCIÓN!F60+PROYECCIÓN!G60</f>
        <v>42569.3680250631</v>
      </c>
      <c r="E177" s="91" t="n">
        <f aca="false">PROYECCIÓN!E60</f>
        <v>48180.2296589449</v>
      </c>
    </row>
    <row r="178" customFormat="false" ht="15" hidden="false" customHeight="false" outlineLevel="0" collapsed="false">
      <c r="A178" s="93" t="n">
        <f aca="false">PROYECCIÓN!B61</f>
        <v>78</v>
      </c>
      <c r="B178" s="91" t="n">
        <f aca="false">PROYECCIÓN!I61</f>
        <v>645077.646053393</v>
      </c>
      <c r="C178" s="91" t="n">
        <f aca="false">PROYECCIÓN!N61</f>
        <v>695894.720810617</v>
      </c>
      <c r="D178" s="35" t="n">
        <f aca="false">PROYECCIÓN!F61+PROYECCIÓN!G61</f>
        <v>43633.6022256897</v>
      </c>
      <c r="E178" s="91" t="n">
        <f aca="false">PROYECCIÓN!E61</f>
        <v>49384.7354004185</v>
      </c>
    </row>
    <row r="179" customFormat="false" ht="15" hidden="false" customHeight="false" outlineLevel="0" collapsed="false">
      <c r="A179" s="93" t="n">
        <f aca="false">PROYECCIÓN!B62</f>
        <v>79</v>
      </c>
      <c r="B179" s="91" t="n">
        <f aca="false">PROYECCIÓN!I62</f>
        <v>658535.063930897</v>
      </c>
      <c r="C179" s="91" t="n">
        <f aca="false">PROYECCIÓN!N62</f>
        <v>716771.562434936</v>
      </c>
      <c r="D179" s="35" t="n">
        <f aca="false">PROYECCIÓN!F62+PROYECCIÓN!G62</f>
        <v>44724.4422813319</v>
      </c>
      <c r="E179" s="91" t="n">
        <f aca="false">PROYECCIÓN!E62</f>
        <v>50619.3537854289</v>
      </c>
    </row>
    <row r="180" customFormat="false" ht="15" hidden="false" customHeight="false" outlineLevel="0" collapsed="false">
      <c r="A180" s="93" t="n">
        <f aca="false">PROYECCIÓN!B63</f>
        <v>80</v>
      </c>
      <c r="B180" s="91" t="n">
        <f aca="false">PROYECCIÓN!I63</f>
        <v>672248.831557125</v>
      </c>
      <c r="C180" s="91" t="n">
        <f aca="false">PROYECCIÓN!N63</f>
        <v>738274.709307984</v>
      </c>
      <c r="D180" s="35" t="n">
        <f aca="false">PROYECCIÓN!F63+PROYECCIÓN!G63</f>
        <v>45842.5533383652</v>
      </c>
      <c r="E180" s="91" t="n">
        <f aca="false">PROYECCIÓN!E63</f>
        <v>51884.8376300647</v>
      </c>
    </row>
    <row r="181" customFormat="false" ht="15" hidden="false" customHeight="false" outlineLevel="0" collapsed="false">
      <c r="A181" s="93" t="n">
        <f aca="false">PROYECCIÓN!B64</f>
        <v>81</v>
      </c>
      <c r="B181" s="91" t="n">
        <f aca="false">PROYECCIÓN!I64</f>
        <v>686222.955104847</v>
      </c>
      <c r="C181" s="91" t="n">
        <f aca="false">PROYECCIÓN!N64</f>
        <v>760422.950587223</v>
      </c>
      <c r="D181" s="35" t="n">
        <f aca="false">PROYECCIÓN!F64+PROYECCIÓN!G64</f>
        <v>46988.6171718244</v>
      </c>
      <c r="E181" s="91" t="n">
        <f aca="false">PROYECCIÓN!E64</f>
        <v>53181.9585708163</v>
      </c>
    </row>
    <row r="182" customFormat="false" ht="15" hidden="false" customHeight="false" outlineLevel="0" collapsed="false">
      <c r="A182" s="93" t="n">
        <f aca="false">PROYECCIÓN!B65</f>
        <v>82</v>
      </c>
      <c r="B182" s="91" t="n">
        <f aca="false">PROYECCIÓN!I65</f>
        <v>700461.468824026</v>
      </c>
      <c r="C182" s="91" t="n">
        <f aca="false">PROYECCIÓN!N65</f>
        <v>783235.63910484</v>
      </c>
      <c r="D182" s="35" t="n">
        <f aca="false">PROYECCIÓN!F65+PROYECCIÓN!G65</f>
        <v>48163.33260112</v>
      </c>
      <c r="E182" s="91" t="n">
        <f aca="false">PROYECCIÓN!E65</f>
        <v>54511.5075350867</v>
      </c>
    </row>
    <row r="183" customFormat="false" ht="15" hidden="false" customHeight="false" outlineLevel="0" collapsed="false">
      <c r="A183" s="93" t="n">
        <f aca="false">PROYECCIÓN!B66</f>
        <v>83</v>
      </c>
      <c r="B183" s="91" t="n">
        <f aca="false">PROYECCIÓN!I66</f>
        <v>714968.433581431</v>
      </c>
      <c r="C183" s="91" t="n">
        <f aca="false">PROYECCIÓN!N66</f>
        <v>806732.708277985</v>
      </c>
      <c r="D183" s="35" t="n">
        <f aca="false">PROYECCIÓN!F66+PROYECCIÓN!G66</f>
        <v>49367.415916148</v>
      </c>
      <c r="E183" s="91" t="n">
        <f aca="false">PROYECCIÓN!E66</f>
        <v>55874.2952234638</v>
      </c>
    </row>
    <row r="184" customFormat="false" ht="15" hidden="false" customHeight="false" outlineLevel="0" collapsed="false">
      <c r="A184" s="93" t="n">
        <f aca="false">PROYECCIÓN!B67</f>
        <v>84</v>
      </c>
      <c r="B184" s="91" t="n">
        <f aca="false">PROYECCIÓN!I67</f>
        <v>729747.935298875</v>
      </c>
      <c r="C184" s="91" t="n">
        <f aca="false">PROYECCIÓN!N67</f>
        <v>830934.689526325</v>
      </c>
      <c r="D184" s="35" t="n">
        <f aca="false">PROYECCIÓN!F67+PROYECCIÓN!G67</f>
        <v>50601.6013140517</v>
      </c>
      <c r="E184" s="91" t="n">
        <f aca="false">PROYECCIÓN!E67</f>
        <v>57271.1526040504</v>
      </c>
    </row>
    <row r="185" customFormat="false" ht="15" hidden="false" customHeight="false" outlineLevel="0" collapsed="false">
      <c r="A185" s="93" t="n">
        <f aca="false">PROYECCIÓN!B68</f>
        <v>85</v>
      </c>
      <c r="B185" s="91" t="n">
        <f aca="false">PROYECCIÓN!I68</f>
        <v>744804.083285592</v>
      </c>
      <c r="C185" s="91" t="n">
        <f aca="false">PROYECCIÓN!N68</f>
        <v>855862.730212115</v>
      </c>
      <c r="D185" s="35" t="n">
        <f aca="false">PROYECCIÓN!F68+PROYECCIÓN!G68</f>
        <v>51866.6413469029</v>
      </c>
      <c r="E185" s="91" t="n">
        <f aca="false">PROYECCIÓN!E68</f>
        <v>58702.9314191517</v>
      </c>
    </row>
    <row r="186" customFormat="false" ht="15" hidden="false" customHeight="false" outlineLevel="0" collapsed="false">
      <c r="A186" s="93" t="n">
        <f aca="false">PROYECCIÓN!B69</f>
        <v>86</v>
      </c>
      <c r="B186" s="91" t="n">
        <f aca="false">PROYECCIÓN!I69</f>
        <v>760141.008460105</v>
      </c>
      <c r="C186" s="91" t="n">
        <f aca="false">PROYECCIÓN!N69</f>
        <v>881538.612118478</v>
      </c>
      <c r="D186" s="35" t="n">
        <f aca="false">PROYECCIÓN!F69+PROYECCIÓN!G69</f>
        <v>53163.3073805755</v>
      </c>
      <c r="E186" s="91" t="n">
        <f aca="false">PROYECCIÓN!E69</f>
        <v>60170.5047046305</v>
      </c>
    </row>
    <row r="187" customFormat="false" ht="15" hidden="false" customHeight="false" outlineLevel="0" collapsed="false">
      <c r="A187" s="93" t="n">
        <f aca="false">PROYECCIÓN!B70</f>
        <v>87</v>
      </c>
      <c r="B187" s="91" t="n">
        <f aca="false">PROYECCIÓN!I70</f>
        <v>775762.861456752</v>
      </c>
      <c r="C187" s="91" t="n">
        <f aca="false">PROYECCIÓN!N70</f>
        <v>907984.770482033</v>
      </c>
      <c r="D187" s="35" t="n">
        <f aca="false">PROYECCIÓN!F70+PROYECCIÓN!G70</f>
        <v>54492.3900650899</v>
      </c>
      <c r="E187" s="91" t="n">
        <f aca="false">PROYECCIÓN!E70</f>
        <v>61674.7673222462</v>
      </c>
    </row>
    <row r="188" customFormat="false" ht="15" hidden="false" customHeight="false" outlineLevel="0" collapsed="false">
      <c r="A188" s="93" t="n">
        <f aca="false">PROYECCIÓN!B71</f>
        <v>88</v>
      </c>
      <c r="B188" s="91" t="n">
        <f aca="false">PROYECCIÓN!I71</f>
        <v>791673.810611869</v>
      </c>
      <c r="C188" s="91" t="n">
        <f aca="false">PROYECCIÓN!N71</f>
        <v>935224.313596494</v>
      </c>
      <c r="D188" s="35" t="n">
        <f aca="false">PROYECCIÓN!F71+PROYECCIÓN!G71</f>
        <v>55854.6998167171</v>
      </c>
      <c r="E188" s="91" t="n">
        <f aca="false">PROYECCIÓN!E71</f>
        <v>63216.6365053024</v>
      </c>
    </row>
    <row r="189" customFormat="false" ht="15" hidden="false" customHeight="false" outlineLevel="0" collapsed="false">
      <c r="A189" s="93" t="n">
        <f aca="false">PROYECCIÓN!B72</f>
        <v>89</v>
      </c>
      <c r="B189" s="91" t="n">
        <f aca="false">PROYECCIÓN!I72</f>
        <v>807878.039824426</v>
      </c>
      <c r="C189" s="91" t="n">
        <f aca="false">PROYECCIÓN!N72</f>
        <v>963281.043004388</v>
      </c>
      <c r="D189" s="35" t="n">
        <f aca="false">PROYECCIÓN!F72+PROYECCIÓN!G72</f>
        <v>57251.0673121351</v>
      </c>
      <c r="E189" s="91" t="n">
        <f aca="false">PROYECCIÓN!E72</f>
        <v>64797.0524179349</v>
      </c>
    </row>
    <row r="190" customFormat="false" ht="15" hidden="false" customHeight="false" outlineLevel="0" collapsed="false">
      <c r="A190" s="93" t="n">
        <f aca="false">PROYECCIÓN!B73</f>
        <v>90</v>
      </c>
      <c r="B190" s="91" t="n">
        <f aca="false">PROYECCIÓN!I73</f>
        <v>824379.746285713</v>
      </c>
      <c r="C190" s="91" t="n">
        <f aca="false">PROYECCIÓN!N73</f>
        <v>992179.47429452</v>
      </c>
      <c r="D190" s="35" t="n">
        <f aca="false">PROYECCIÓN!F73+PROYECCIÓN!G73</f>
        <v>58682.3439949384</v>
      </c>
      <c r="E190" s="91" t="n">
        <f aca="false">PROYECCIÓN!E73</f>
        <v>66416.9787283833</v>
      </c>
    </row>
    <row r="191" customFormat="false" ht="15" hidden="false" customHeight="false" outlineLevel="0" collapsed="false">
      <c r="A191" s="93" t="n">
        <f aca="false">PROYECCIÓN!B74</f>
        <v>91</v>
      </c>
      <c r="B191" s="91" t="n">
        <f aca="false">PROYECCIÓN!I74</f>
        <v>841183.138072504</v>
      </c>
      <c r="C191" s="91" t="n">
        <f aca="false">PROYECCIÓN!N74</f>
        <v>1021944.85852336</v>
      </c>
      <c r="D191" s="35" t="n">
        <f aca="false">PROYECCIÓN!F74+PROYECCIÓN!G74</f>
        <v>60149.4025948119</v>
      </c>
      <c r="E191" s="91" t="n">
        <f aca="false">PROYECCIÓN!E74</f>
        <v>68077.4031965929</v>
      </c>
    </row>
    <row r="192" customFormat="false" ht="15" hidden="false" customHeight="false" outlineLevel="0" collapsed="false">
      <c r="A192" s="93" t="n">
        <f aca="false">PROYECCIÓN!B75</f>
        <v>92</v>
      </c>
      <c r="B192" s="91" t="n">
        <f aca="false">PROYECCIÓN!I75</f>
        <v>858292.431597854</v>
      </c>
      <c r="C192" s="91" t="n">
        <f aca="false">PROYECCIÓN!N75</f>
        <v>1052603.20427906</v>
      </c>
      <c r="D192" s="35" t="n">
        <f aca="false">PROYECCIÓN!F75+PROYECCIÓN!G75</f>
        <v>61653.1376596822</v>
      </c>
      <c r="E192" s="91" t="n">
        <f aca="false">PROYECCIÓN!E75</f>
        <v>69779.3382765077</v>
      </c>
    </row>
    <row r="193" customFormat="false" ht="15" hidden="false" customHeight="false" outlineLevel="0" collapsed="false">
      <c r="A193" s="93" t="n">
        <f aca="false">PROYECCIÓN!B76</f>
        <v>93</v>
      </c>
      <c r="B193" s="91" t="n">
        <f aca="false">PROYECCIÓN!I76</f>
        <v>875711.848913543</v>
      </c>
      <c r="C193" s="91" t="n">
        <f aca="false">PROYECCIÓN!N76</f>
        <v>1084181.30040743</v>
      </c>
      <c r="D193" s="35" t="n">
        <f aca="false">PROYECCIÓN!F76+PROYECCIÓN!G76</f>
        <v>63194.4661011742</v>
      </c>
      <c r="E193" s="91" t="n">
        <f aca="false">PROYECCIÓN!E76</f>
        <v>71523.8217334204</v>
      </c>
    </row>
    <row r="194" customFormat="false" ht="15" hidden="false" customHeight="false" outlineLevel="0" collapsed="false">
      <c r="A194" s="93" t="n">
        <f aca="false">PROYECCIÓN!B77</f>
        <v>94</v>
      </c>
      <c r="B194" s="91" t="n">
        <f aca="false">PROYECCIÓN!I77</f>
        <v>893445.614857897</v>
      </c>
      <c r="C194" s="91" t="n">
        <f aca="false">PROYECCIÓN!N77</f>
        <v>1116706.73941965</v>
      </c>
      <c r="D194" s="35" t="n">
        <f aca="false">PROYECCIÓN!F77+PROYECCIÓN!G77</f>
        <v>64774.3277537036</v>
      </c>
      <c r="E194" s="91" t="n">
        <f aca="false">PROYECCIÓN!E77</f>
        <v>73311.9172767559</v>
      </c>
    </row>
    <row r="195" customFormat="false" ht="15" hidden="false" customHeight="false" outlineLevel="0" collapsed="false">
      <c r="A195" s="93" t="n">
        <f aca="false">PROYECCIÓN!B78</f>
        <v>95</v>
      </c>
      <c r="B195" s="91" t="n">
        <f aca="false">PROYECCIÓN!I78</f>
        <v>911497.954042505</v>
      </c>
      <c r="C195" s="91" t="n">
        <f aca="false">PROYECCIÓN!N78</f>
        <v>1150207.94160224</v>
      </c>
      <c r="D195" s="35" t="n">
        <f aca="false">PROYECCIÓN!F78+PROYECCIÓN!G78</f>
        <v>66393.6859475462</v>
      </c>
      <c r="E195" s="91" t="n">
        <f aca="false">PROYECCIÓN!E78</f>
        <v>75144.7152086748</v>
      </c>
    </row>
    <row r="196" customFormat="false" ht="15" hidden="false" customHeight="false" outlineLevel="0" collapsed="false">
      <c r="A196" s="93" t="n">
        <f aca="false">PROYECCIÓN!B79</f>
        <v>96</v>
      </c>
      <c r="B196" s="91" t="n">
        <f aca="false">PROYECCIÓN!I79</f>
        <v>929873.087671124</v>
      </c>
      <c r="C196" s="91" t="n">
        <f aca="false">PROYECCIÓN!N79</f>
        <v>1184714.17985031</v>
      </c>
      <c r="D196" s="35" t="n">
        <f aca="false">PROYECCIÓN!F79+PROYECCIÓN!G79</f>
        <v>68053.5280962348</v>
      </c>
      <c r="E196" s="91" t="n">
        <f aca="false">PROYECCIÓN!E79</f>
        <v>77023.3330888916</v>
      </c>
    </row>
    <row r="197" customFormat="false" ht="15" hidden="false" customHeight="false" outlineLevel="0" collapsed="false">
      <c r="A197" s="93" t="n">
        <f aca="false">PROYECCIÓN!B80</f>
        <v>97</v>
      </c>
      <c r="B197" s="91" t="n">
        <f aca="false">PROYECCIÓN!I80</f>
        <v>948575.230183784</v>
      </c>
      <c r="C197" s="91" t="n">
        <f aca="false">PROYECCIÓN!N80</f>
        <v>1220255.60524582</v>
      </c>
      <c r="D197" s="35" t="n">
        <f aca="false">PROYECCIÓN!F80+PROYECCIÓN!G80</f>
        <v>69754.8662986407</v>
      </c>
      <c r="E197" s="91" t="n">
        <f aca="false">PROYECCIÓN!E80</f>
        <v>78948.9164161139</v>
      </c>
    </row>
    <row r="199" customFormat="false" ht="15" hidden="false" customHeight="false" outlineLevel="0" collapsed="false">
      <c r="A199" s="88" t="s">
        <v>992</v>
      </c>
    </row>
    <row r="200" customFormat="false" ht="15" hidden="false" customHeight="false" outlineLevel="0" collapsed="false">
      <c r="A200" s="89" t="s">
        <v>993</v>
      </c>
      <c r="B200" s="89" t="s">
        <v>994</v>
      </c>
      <c r="C200" s="89" t="s">
        <v>995</v>
      </c>
      <c r="D200" s="89" t="s">
        <v>996</v>
      </c>
      <c r="E200" s="89" t="s">
        <v>997</v>
      </c>
      <c r="F200" s="89" t="s">
        <v>998</v>
      </c>
      <c r="G200" s="89" t="s">
        <v>999</v>
      </c>
    </row>
    <row r="201" customFormat="false" ht="15" hidden="false" customHeight="false" outlineLevel="0" collapsed="false">
      <c r="A201" s="35" t="str">
        <f aca="false">'MI FUTURO'!A21</f>
        <v>🛟 Colchón de emergencia</v>
      </c>
      <c r="B201" s="91" t="n">
        <f aca="false">'MI FUTURO'!B21</f>
        <v>9903.295</v>
      </c>
      <c r="C201" s="91" t="n">
        <f aca="false">'MI FUTURO'!C21</f>
        <v>67957.06</v>
      </c>
      <c r="D201" s="92" t="n">
        <f aca="false">'MI FUTURO'!D21</f>
        <v>1</v>
      </c>
      <c r="E201" s="35" t="str">
        <f aca="false">'MI FUTURO'!E21</f>
        <v>Hoy</v>
      </c>
      <c r="F201" s="35" t="str">
        <f aca="false">'MI FUTURO'!H21</f>
        <v>✅ Conseguido</v>
      </c>
      <c r="G201" s="38" t="s">
        <v>1000</v>
      </c>
    </row>
    <row r="202" customFormat="false" ht="15" hidden="false" customHeight="false" outlineLevel="0" collapsed="false">
      <c r="A202" s="35" t="str">
        <f aca="false">'MI FUTURO'!A22</f>
        <v>💶 100.000 € de patrimonio líquido</v>
      </c>
      <c r="B202" s="91" t="n">
        <f aca="false">'MI FUTURO'!B22</f>
        <v>100000</v>
      </c>
      <c r="C202" s="91" t="n">
        <f aca="false">'MI FUTURO'!C22</f>
        <v>67957.06</v>
      </c>
      <c r="D202" s="92" t="n">
        <f aca="false">'MI FUTURO'!D22</f>
        <v>0.6795706</v>
      </c>
      <c r="E202" s="93" t="n">
        <f aca="false">'MI FUTURO'!E22</f>
        <v>2029</v>
      </c>
      <c r="F202" s="35" t="str">
        <f aca="false">'MI FUTURO'!H22</f>
        <v>🔄 En camino</v>
      </c>
      <c r="G202" s="38" t="s">
        <v>1000</v>
      </c>
    </row>
    <row r="203" customFormat="false" ht="15" hidden="false" customHeight="false" outlineLevel="0" collapsed="false">
      <c r="A203" s="35" t="str">
        <f aca="false">'MI FUTURO'!A23</f>
        <v>💰 150.000 € de patrimonio líquido</v>
      </c>
      <c r="B203" s="91" t="n">
        <f aca="false">'MI FUTURO'!B23</f>
        <v>150000</v>
      </c>
      <c r="C203" s="91" t="n">
        <f aca="false">'MI FUTURO'!C23</f>
        <v>67957.06</v>
      </c>
      <c r="D203" s="92" t="n">
        <f aca="false">'MI FUTURO'!D23</f>
        <v>0.453047066666667</v>
      </c>
      <c r="E203" s="93" t="n">
        <f aca="false">'MI FUTURO'!E23</f>
        <v>2033</v>
      </c>
      <c r="F203" s="35" t="str">
        <f aca="false">'MI FUTURO'!H23</f>
        <v>🔄 En camino</v>
      </c>
      <c r="G203" s="38" t="s">
        <v>1000</v>
      </c>
    </row>
    <row r="204" customFormat="false" ht="15" hidden="false" customHeight="false" outlineLevel="0" collapsed="false">
      <c r="A204" s="35" t="str">
        <f aca="false">'MI FUTURO'!A24</f>
        <v>🏠 Vivienda comprada</v>
      </c>
      <c r="B204" s="92" t="n">
        <f aca="false">'MI FUTURO'!B24</f>
        <v>1</v>
      </c>
      <c r="C204" s="92" t="n">
        <f aca="false">'MI FUTURO'!C24</f>
        <v>0</v>
      </c>
      <c r="D204" s="92" t="n">
        <f aca="false">'MI FUTURO'!D24</f>
        <v>0</v>
      </c>
      <c r="E204" s="93" t="n">
        <f aca="false">'MI FUTURO'!E24</f>
        <v>2026</v>
      </c>
      <c r="F204" s="35" t="str">
        <f aca="false">'MI FUTURO'!H24</f>
        <v>📅 En DECISIONES</v>
      </c>
      <c r="G204" s="38" t="s">
        <v>996</v>
      </c>
    </row>
    <row r="205" customFormat="false" ht="15" hidden="false" customHeight="false" outlineLevel="0" collapsed="false">
      <c r="A205" s="35" t="str">
        <f aca="false">'MI FUTURO'!A25</f>
        <v>🔓 Libertad financiera 25 %</v>
      </c>
      <c r="B205" s="92" t="n">
        <f aca="false">'MI FUTURO'!B25</f>
        <v>0.25</v>
      </c>
      <c r="C205" s="92" t="n">
        <f aca="false">'MI FUTURO'!C25</f>
        <v>0.137241312108748</v>
      </c>
      <c r="D205" s="92" t="n">
        <f aca="false">'MI FUTURO'!D25</f>
        <v>0.548965248434991</v>
      </c>
      <c r="E205" s="93" t="n">
        <f aca="false">'MI FUTURO'!E25</f>
        <v>2032</v>
      </c>
      <c r="F205" s="35" t="str">
        <f aca="false">'MI FUTURO'!H25</f>
        <v>🔄 En camino</v>
      </c>
      <c r="G205" s="38" t="s">
        <v>996</v>
      </c>
    </row>
    <row r="206" customFormat="false" ht="15" hidden="false" customHeight="false" outlineLevel="0" collapsed="false">
      <c r="A206" s="35" t="str">
        <f aca="false">'MI FUTURO'!A26</f>
        <v>💎 200.000 € de patrimonio líquido</v>
      </c>
      <c r="B206" s="91" t="n">
        <f aca="false">'MI FUTURO'!B26</f>
        <v>200000</v>
      </c>
      <c r="C206" s="91" t="n">
        <f aca="false">'MI FUTURO'!C26</f>
        <v>67957.06</v>
      </c>
      <c r="D206" s="92" t="n">
        <f aca="false">'MI FUTURO'!D26</f>
        <v>0.3397853</v>
      </c>
      <c r="E206" s="93" t="n">
        <f aca="false">'MI FUTURO'!E26</f>
        <v>2036</v>
      </c>
      <c r="F206" s="35" t="str">
        <f aca="false">'MI FUTURO'!H26</f>
        <v>🔄 En camino</v>
      </c>
      <c r="G206" s="38" t="s">
        <v>1000</v>
      </c>
    </row>
    <row r="207" customFormat="false" ht="15" hidden="false" customHeight="false" outlineLevel="0" collapsed="false">
      <c r="A207" s="35" t="str">
        <f aca="false">'MI FUTURO'!A27</f>
        <v>🔓 Libertad financiera 50 %</v>
      </c>
      <c r="B207" s="92" t="n">
        <f aca="false">'MI FUTURO'!B27</f>
        <v>0.5</v>
      </c>
      <c r="C207" s="92" t="n">
        <f aca="false">'MI FUTURO'!C27</f>
        <v>0.137241312108748</v>
      </c>
      <c r="D207" s="92" t="n">
        <f aca="false">'MI FUTURO'!D27</f>
        <v>0.274482624217495</v>
      </c>
      <c r="E207" s="93" t="n">
        <f aca="false">'MI FUTURO'!E27</f>
        <v>2049</v>
      </c>
      <c r="F207" s="35" t="str">
        <f aca="false">'MI FUTURO'!H27</f>
        <v>🔄 En camino</v>
      </c>
      <c r="G207" s="38" t="s">
        <v>996</v>
      </c>
    </row>
    <row r="208" customFormat="false" ht="15" hidden="false" customHeight="false" outlineLevel="0" collapsed="false">
      <c r="A208" s="35" t="str">
        <f aca="false">'MI FUTURO'!A28</f>
        <v>🏖️ Que el dinero te dure hasta los 90</v>
      </c>
      <c r="B208" s="93" t="n">
        <f aca="false">'MI FUTURO'!B28</f>
        <v>90</v>
      </c>
      <c r="C208" s="93" t="n">
        <f aca="false">'MI FUTURO'!C28</f>
        <v>108</v>
      </c>
      <c r="D208" s="92" t="n">
        <f aca="false">'MI FUTURO'!D28</f>
        <v>1</v>
      </c>
      <c r="E208" s="35" t="str">
        <f aca="false">'MI FUTURO'!E28</f>
        <v/>
      </c>
      <c r="F208" s="35" t="str">
        <f aca="false">'MI FUTURO'!H28</f>
        <v>✅ Cubierto</v>
      </c>
      <c r="G208" s="38" t="s">
        <v>1001</v>
      </c>
    </row>
    <row r="210" customFormat="false" ht="15" hidden="false" customHeight="false" outlineLevel="0" collapsed="false">
      <c r="A210" s="88" t="s">
        <v>1002</v>
      </c>
    </row>
    <row r="211" customFormat="false" ht="15" hidden="false" customHeight="false" outlineLevel="0" collapsed="false">
      <c r="A211" s="89" t="s">
        <v>1003</v>
      </c>
      <c r="B211" s="89" t="s">
        <v>1004</v>
      </c>
      <c r="C211" s="89" t="s">
        <v>1005</v>
      </c>
      <c r="D211" s="89" t="s">
        <v>1006</v>
      </c>
      <c r="E211" s="89" t="s">
        <v>998</v>
      </c>
      <c r="F211" s="89" t="s">
        <v>1007</v>
      </c>
      <c r="G211" s="89" t="s">
        <v>1008</v>
      </c>
    </row>
    <row r="212" customFormat="false" ht="15" hidden="false" customHeight="false" outlineLevel="0" collapsed="false">
      <c r="A212" s="35" t="str">
        <f aca="false">IF(VIAJES!$A16="","",VIAJES!A16)</f>
        <v>Escapada a Oporto</v>
      </c>
      <c r="B212" s="95" t="n">
        <f aca="false">IF(VIAJES!$A16="","",VIAJES!B16)</f>
        <v>46346</v>
      </c>
      <c r="C212" s="91" t="n">
        <f aca="false">IF(VIAJES!$A16="","",VIAJES!I16)</f>
        <v>350</v>
      </c>
      <c r="D212" s="35" t="str">
        <f aca="false">IF(VIAJES!$A16="","",VIAJES!F16)</f>
        <v>Cuenta de viajes</v>
      </c>
      <c r="E212" s="35" t="str">
        <f aca="false">IF(VIAJES!$A16="","",VIAJES!G16)</f>
        <v>Organizado</v>
      </c>
      <c r="F212" s="96" t="n">
        <f aca="false">IF(VIAJES!$A16="","",VIAJES!J16)</f>
        <v>1750</v>
      </c>
      <c r="G212" s="35" t="str">
        <f aca="false">IF(VIAJES!$A16="","",VIAJES!K16)</f>
        <v>🟢 Llega</v>
      </c>
    </row>
    <row r="213" customFormat="false" ht="15" hidden="false" customHeight="false" outlineLevel="0" collapsed="false">
      <c r="A213" s="35" t="str">
        <f aca="false">IF(VIAJES!$A17="","",VIAJES!A17)</f>
        <v>Fin de semana rural</v>
      </c>
      <c r="B213" s="95" t="n">
        <f aca="false">IF(VIAJES!$A17="","",VIAJES!B17)</f>
        <v>46361</v>
      </c>
      <c r="C213" s="91" t="n">
        <f aca="false">IF(VIAJES!$A17="","",VIAJES!I17)</f>
        <v>160</v>
      </c>
      <c r="D213" s="35" t="str">
        <f aca="false">IF(VIAJES!$A17="","",VIAJES!F17)</f>
        <v>Mi bolsillo</v>
      </c>
      <c r="E213" s="35" t="str">
        <f aca="false">IF(VIAJES!$A17="","",VIAJES!G17)</f>
        <v>Idea</v>
      </c>
      <c r="F213" s="35" t="str">
        <f aca="false">IF(VIAJES!$A17="","",VIAJES!J17)</f>
        <v/>
      </c>
      <c r="G213" s="35" t="str">
        <f aca="false">IF(VIAJES!$A17="","",VIAJES!K17)</f>
        <v>— lo pagas tú</v>
      </c>
    </row>
    <row r="214" customFormat="false" ht="15" hidden="false" customHeight="false" outlineLevel="0" collapsed="false">
      <c r="A214" s="35" t="str">
        <f aca="false">IF(VIAJES!$A18="","",VIAJES!A18)</f>
        <v>Roma</v>
      </c>
      <c r="B214" s="95" t="n">
        <f aca="false">IF(VIAJES!$A18="","",VIAJES!B18)</f>
        <v>46487</v>
      </c>
      <c r="C214" s="91" t="n">
        <f aca="false">IF(VIAJES!$A18="","",VIAJES!I18)</f>
        <v>800</v>
      </c>
      <c r="D214" s="35" t="str">
        <f aca="false">IF(VIAJES!$A18="","",VIAJES!F18)</f>
        <v>Cuenta de viajes</v>
      </c>
      <c r="E214" s="35" t="str">
        <f aca="false">IF(VIAJES!$A18="","",VIAJES!G18)</f>
        <v>Planificando</v>
      </c>
      <c r="F214" s="96" t="n">
        <f aca="false">IF(VIAJES!$A18="","",VIAJES!J18)</f>
        <v>1700</v>
      </c>
      <c r="G214" s="35" t="str">
        <f aca="false">IF(VIAJES!$A18="","",VIAJES!K18)</f>
        <v>🟢 Llega</v>
      </c>
    </row>
    <row r="215" customFormat="false" ht="15" hidden="false" customHeight="false" outlineLevel="0" collapsed="false">
      <c r="A215" s="35" t="str">
        <f aca="false">IF(VIAJES!$A19="","",VIAJES!A19)</f>
        <v>Islandia</v>
      </c>
      <c r="B215" s="95" t="n">
        <f aca="false">IF(VIAJES!$A19="","",VIAJES!B19)</f>
        <v>46645</v>
      </c>
      <c r="C215" s="35" t="str">
        <f aca="false">IF(VIAJES!$A19="","",VIAJES!I19)</f>
        <v/>
      </c>
      <c r="D215" s="35" t="str">
        <f aca="false">IF(VIAJES!$A19="","",VIAJES!F19)</f>
        <v>Cuenta de viajes</v>
      </c>
      <c r="E215" s="35" t="str">
        <f aca="false">IF(VIAJES!$A19="","",VIAJES!G19)</f>
        <v>Idea</v>
      </c>
      <c r="F215" s="96" t="n">
        <f aca="false">IF(VIAJES!$A19="","",VIAJES!J19)</f>
        <v>2450</v>
      </c>
      <c r="G215" s="35" t="str">
        <f aca="false">IF(VIAJES!$A19="","",VIAJES!K19)</f>
        <v>Falta fecha o coste</v>
      </c>
    </row>
    <row r="216" customFormat="false" ht="15" hidden="false" customHeight="false" outlineLevel="0" collapsed="false">
      <c r="A216" s="35" t="str">
        <f aca="false">IF(VIAJES!$A20="","",VIAJES!A20)</f>
        <v/>
      </c>
      <c r="B216" s="95" t="str">
        <f aca="false">IF(VIAJES!$A20="","",VIAJES!B20)</f>
        <v/>
      </c>
      <c r="C216" s="35" t="str">
        <f aca="false">IF(VIAJES!$A20="","",VIAJES!I20)</f>
        <v/>
      </c>
      <c r="D216" s="35" t="str">
        <f aca="false">IF(VIAJES!$A20="","",VIAJES!F20)</f>
        <v/>
      </c>
      <c r="E216" s="35" t="str">
        <f aca="false">IF(VIAJES!$A20="","",VIAJES!G20)</f>
        <v/>
      </c>
      <c r="F216" s="35" t="str">
        <f aca="false">IF(VIAJES!$A20="","",VIAJES!J20)</f>
        <v/>
      </c>
      <c r="G216" s="35" t="str">
        <f aca="false">IF(VIAJES!$A20="","",VIAJES!K20)</f>
        <v/>
      </c>
    </row>
    <row r="217" customFormat="false" ht="15" hidden="false" customHeight="false" outlineLevel="0" collapsed="false">
      <c r="A217" s="35" t="str">
        <f aca="false">IF(VIAJES!$A21="","",VIAJES!A21)</f>
        <v/>
      </c>
      <c r="B217" s="95" t="str">
        <f aca="false">IF(VIAJES!$A21="","",VIAJES!B21)</f>
        <v/>
      </c>
      <c r="C217" s="35" t="str">
        <f aca="false">IF(VIAJES!$A21="","",VIAJES!I21)</f>
        <v/>
      </c>
      <c r="D217" s="35" t="str">
        <f aca="false">IF(VIAJES!$A21="","",VIAJES!F21)</f>
        <v/>
      </c>
      <c r="E217" s="35" t="str">
        <f aca="false">IF(VIAJES!$A21="","",VIAJES!G21)</f>
        <v/>
      </c>
      <c r="F217" s="35" t="str">
        <f aca="false">IF(VIAJES!$A21="","",VIAJES!J21)</f>
        <v/>
      </c>
      <c r="G217" s="35" t="str">
        <f aca="false">IF(VIAJES!$A21="","",VIAJES!K21)</f>
        <v/>
      </c>
    </row>
    <row r="218" customFormat="false" ht="15" hidden="false" customHeight="false" outlineLevel="0" collapsed="false">
      <c r="A218" s="35" t="str">
        <f aca="false">IF(VIAJES!$A22="","",VIAJES!A22)</f>
        <v/>
      </c>
      <c r="B218" s="95" t="str">
        <f aca="false">IF(VIAJES!$A22="","",VIAJES!B22)</f>
        <v/>
      </c>
      <c r="C218" s="35" t="str">
        <f aca="false">IF(VIAJES!$A22="","",VIAJES!I22)</f>
        <v/>
      </c>
      <c r="D218" s="35" t="str">
        <f aca="false">IF(VIAJES!$A22="","",VIAJES!F22)</f>
        <v/>
      </c>
      <c r="E218" s="35" t="str">
        <f aca="false">IF(VIAJES!$A22="","",VIAJES!G22)</f>
        <v/>
      </c>
      <c r="F218" s="35" t="str">
        <f aca="false">IF(VIAJES!$A22="","",VIAJES!J22)</f>
        <v/>
      </c>
      <c r="G218" s="35" t="str">
        <f aca="false">IF(VIAJES!$A22="","",VIAJES!K22)</f>
        <v/>
      </c>
    </row>
    <row r="219" customFormat="false" ht="15" hidden="false" customHeight="false" outlineLevel="0" collapsed="false">
      <c r="A219" s="35" t="str">
        <f aca="false">IF(VIAJES!$A23="","",VIAJES!A23)</f>
        <v/>
      </c>
      <c r="B219" s="95" t="str">
        <f aca="false">IF(VIAJES!$A23="","",VIAJES!B23)</f>
        <v/>
      </c>
      <c r="C219" s="35" t="str">
        <f aca="false">IF(VIAJES!$A23="","",VIAJES!I23)</f>
        <v/>
      </c>
      <c r="D219" s="35" t="str">
        <f aca="false">IF(VIAJES!$A23="","",VIAJES!F23)</f>
        <v/>
      </c>
      <c r="E219" s="35" t="str">
        <f aca="false">IF(VIAJES!$A23="","",VIAJES!G23)</f>
        <v/>
      </c>
      <c r="F219" s="35" t="str">
        <f aca="false">IF(VIAJES!$A23="","",VIAJES!J23)</f>
        <v/>
      </c>
      <c r="G219" s="35" t="str">
        <f aca="false">IF(VIAJES!$A23="","",VIAJES!K23)</f>
        <v/>
      </c>
    </row>
    <row r="220" customFormat="false" ht="15" hidden="false" customHeight="false" outlineLevel="0" collapsed="false">
      <c r="A220" s="35" t="str">
        <f aca="false">IF(VIAJES!$A24="","",VIAJES!A24)</f>
        <v/>
      </c>
      <c r="B220" s="95" t="str">
        <f aca="false">IF(VIAJES!$A24="","",VIAJES!B24)</f>
        <v/>
      </c>
      <c r="C220" s="35" t="str">
        <f aca="false">IF(VIAJES!$A24="","",VIAJES!I24)</f>
        <v/>
      </c>
      <c r="D220" s="35" t="str">
        <f aca="false">IF(VIAJES!$A24="","",VIAJES!F24)</f>
        <v/>
      </c>
      <c r="E220" s="35" t="str">
        <f aca="false">IF(VIAJES!$A24="","",VIAJES!G24)</f>
        <v/>
      </c>
      <c r="F220" s="35" t="str">
        <f aca="false">IF(VIAJES!$A24="","",VIAJES!J24)</f>
        <v/>
      </c>
      <c r="G220" s="35" t="str">
        <f aca="false">IF(VIAJES!$A24="","",VIAJES!K24)</f>
        <v/>
      </c>
    </row>
    <row r="221" customFormat="false" ht="15" hidden="false" customHeight="false" outlineLevel="0" collapsed="false">
      <c r="A221" s="35" t="str">
        <f aca="false">IF(VIAJES!$A25="","",VIAJES!A25)</f>
        <v/>
      </c>
      <c r="B221" s="95" t="str">
        <f aca="false">IF(VIAJES!$A25="","",VIAJES!B25)</f>
        <v/>
      </c>
      <c r="C221" s="35" t="str">
        <f aca="false">IF(VIAJES!$A25="","",VIAJES!I25)</f>
        <v/>
      </c>
      <c r="D221" s="35" t="str">
        <f aca="false">IF(VIAJES!$A25="","",VIAJES!F25)</f>
        <v/>
      </c>
      <c r="E221" s="35" t="str">
        <f aca="false">IF(VIAJES!$A25="","",VIAJES!G25)</f>
        <v/>
      </c>
      <c r="F221" s="35" t="str">
        <f aca="false">IF(VIAJES!$A25="","",VIAJES!J25)</f>
        <v/>
      </c>
      <c r="G221" s="35" t="str">
        <f aca="false">IF(VIAJES!$A25="","",VIAJES!K25)</f>
        <v/>
      </c>
    </row>
    <row r="222" customFormat="false" ht="15" hidden="false" customHeight="false" outlineLevel="0" collapsed="false">
      <c r="A222" s="35" t="str">
        <f aca="false">IF(VIAJES!$A26="","",VIAJES!A26)</f>
        <v/>
      </c>
      <c r="B222" s="95" t="str">
        <f aca="false">IF(VIAJES!$A26="","",VIAJES!B26)</f>
        <v/>
      </c>
      <c r="C222" s="35" t="str">
        <f aca="false">IF(VIAJES!$A26="","",VIAJES!I26)</f>
        <v/>
      </c>
      <c r="D222" s="35" t="str">
        <f aca="false">IF(VIAJES!$A26="","",VIAJES!F26)</f>
        <v/>
      </c>
      <c r="E222" s="35" t="str">
        <f aca="false">IF(VIAJES!$A26="","",VIAJES!G26)</f>
        <v/>
      </c>
      <c r="F222" s="35" t="str">
        <f aca="false">IF(VIAJES!$A26="","",VIAJES!J26)</f>
        <v/>
      </c>
      <c r="G222" s="35" t="str">
        <f aca="false">IF(VIAJES!$A26="","",VIAJES!K26)</f>
        <v/>
      </c>
    </row>
    <row r="223" customFormat="false" ht="15" hidden="false" customHeight="false" outlineLevel="0" collapsed="false">
      <c r="A223" s="35" t="str">
        <f aca="false">IF(VIAJES!$A27="","",VIAJES!A27)</f>
        <v/>
      </c>
      <c r="B223" s="95" t="str">
        <f aca="false">IF(VIAJES!$A27="","",VIAJES!B27)</f>
        <v/>
      </c>
      <c r="C223" s="35" t="str">
        <f aca="false">IF(VIAJES!$A27="","",VIAJES!I27)</f>
        <v/>
      </c>
      <c r="D223" s="35" t="str">
        <f aca="false">IF(VIAJES!$A27="","",VIAJES!F27)</f>
        <v/>
      </c>
      <c r="E223" s="35" t="str">
        <f aca="false">IF(VIAJES!$A27="","",VIAJES!G27)</f>
        <v/>
      </c>
      <c r="F223" s="35" t="str">
        <f aca="false">IF(VIAJES!$A27="","",VIAJES!J27)</f>
        <v/>
      </c>
      <c r="G223" s="35" t="str">
        <f aca="false">IF(VIAJES!$A27="","",VIAJES!K27)</f>
        <v/>
      </c>
    </row>
    <row r="224" customFormat="false" ht="15" hidden="false" customHeight="false" outlineLevel="0" collapsed="false">
      <c r="A224" s="35" t="str">
        <f aca="false">IF(VIAJES!$A28="","",VIAJES!A28)</f>
        <v/>
      </c>
      <c r="B224" s="95" t="str">
        <f aca="false">IF(VIAJES!$A28="","",VIAJES!B28)</f>
        <v/>
      </c>
      <c r="C224" s="35" t="str">
        <f aca="false">IF(VIAJES!$A28="","",VIAJES!I28)</f>
        <v/>
      </c>
      <c r="D224" s="35" t="str">
        <f aca="false">IF(VIAJES!$A28="","",VIAJES!F28)</f>
        <v/>
      </c>
      <c r="E224" s="35" t="str">
        <f aca="false">IF(VIAJES!$A28="","",VIAJES!G28)</f>
        <v/>
      </c>
      <c r="F224" s="35" t="str">
        <f aca="false">IF(VIAJES!$A28="","",VIAJES!J28)</f>
        <v/>
      </c>
      <c r="G224" s="35" t="str">
        <f aca="false">IF(VIAJES!$A28="","",VIAJES!K28)</f>
        <v/>
      </c>
    </row>
    <row r="225" customFormat="false" ht="15" hidden="false" customHeight="false" outlineLevel="0" collapsed="false">
      <c r="A225" s="35" t="str">
        <f aca="false">IF(VIAJES!$A29="","",VIAJES!A29)</f>
        <v/>
      </c>
      <c r="B225" s="95" t="str">
        <f aca="false">IF(VIAJES!$A29="","",VIAJES!B29)</f>
        <v/>
      </c>
      <c r="C225" s="35" t="str">
        <f aca="false">IF(VIAJES!$A29="","",VIAJES!I29)</f>
        <v/>
      </c>
      <c r="D225" s="35" t="str">
        <f aca="false">IF(VIAJES!$A29="","",VIAJES!F29)</f>
        <v/>
      </c>
      <c r="E225" s="35" t="str">
        <f aca="false">IF(VIAJES!$A29="","",VIAJES!G29)</f>
        <v/>
      </c>
      <c r="F225" s="35" t="str">
        <f aca="false">IF(VIAJES!$A29="","",VIAJES!J29)</f>
        <v/>
      </c>
      <c r="G225" s="35" t="str">
        <f aca="false">IF(VIAJES!$A29="","",VIAJES!K29)</f>
        <v/>
      </c>
    </row>
    <row r="226" customFormat="false" ht="15" hidden="false" customHeight="false" outlineLevel="0" collapsed="false">
      <c r="A226" s="35" t="str">
        <f aca="false">IF(VIAJES!$A30="","",VIAJES!A30)</f>
        <v/>
      </c>
      <c r="B226" s="95" t="str">
        <f aca="false">IF(VIAJES!$A30="","",VIAJES!B30)</f>
        <v/>
      </c>
      <c r="C226" s="35" t="str">
        <f aca="false">IF(VIAJES!$A30="","",VIAJES!I30)</f>
        <v/>
      </c>
      <c r="D226" s="35" t="str">
        <f aca="false">IF(VIAJES!$A30="","",VIAJES!F30)</f>
        <v/>
      </c>
      <c r="E226" s="35" t="str">
        <f aca="false">IF(VIAJES!$A30="","",VIAJES!G30)</f>
        <v/>
      </c>
      <c r="F226" s="35" t="str">
        <f aca="false">IF(VIAJES!$A30="","",VIAJES!J30)</f>
        <v/>
      </c>
      <c r="G226" s="35" t="str">
        <f aca="false">IF(VIAJES!$A30="","",VIAJES!K30)</f>
        <v/>
      </c>
    </row>
    <row r="227" customFormat="false" ht="15" hidden="false" customHeight="false" outlineLevel="0" collapsed="false">
      <c r="A227" s="35" t="str">
        <f aca="false">IF(VIAJES!$A31="","",VIAJES!A31)</f>
        <v/>
      </c>
      <c r="B227" s="95" t="str">
        <f aca="false">IF(VIAJES!$A31="","",VIAJES!B31)</f>
        <v/>
      </c>
      <c r="C227" s="35" t="str">
        <f aca="false">IF(VIAJES!$A31="","",VIAJES!I31)</f>
        <v/>
      </c>
      <c r="D227" s="35" t="str">
        <f aca="false">IF(VIAJES!$A31="","",VIAJES!F31)</f>
        <v/>
      </c>
      <c r="E227" s="35" t="str">
        <f aca="false">IF(VIAJES!$A31="","",VIAJES!G31)</f>
        <v/>
      </c>
      <c r="F227" s="35" t="str">
        <f aca="false">IF(VIAJES!$A31="","",VIAJES!J31)</f>
        <v/>
      </c>
      <c r="G227" s="35" t="str">
        <f aca="false">IF(VIAJES!$A31="","",VIAJES!K31)</f>
        <v/>
      </c>
    </row>
    <row r="228" customFormat="false" ht="15" hidden="false" customHeight="false" outlineLevel="0" collapsed="false">
      <c r="A228" s="35" t="str">
        <f aca="false">IF(VIAJES!$A32="","",VIAJES!A32)</f>
        <v/>
      </c>
      <c r="B228" s="95" t="str">
        <f aca="false">IF(VIAJES!$A32="","",VIAJES!B32)</f>
        <v/>
      </c>
      <c r="C228" s="35" t="str">
        <f aca="false">IF(VIAJES!$A32="","",VIAJES!I32)</f>
        <v/>
      </c>
      <c r="D228" s="35" t="str">
        <f aca="false">IF(VIAJES!$A32="","",VIAJES!F32)</f>
        <v/>
      </c>
      <c r="E228" s="35" t="str">
        <f aca="false">IF(VIAJES!$A32="","",VIAJES!G32)</f>
        <v/>
      </c>
      <c r="F228" s="35" t="str">
        <f aca="false">IF(VIAJES!$A32="","",VIAJES!J32)</f>
        <v/>
      </c>
      <c r="G228" s="35" t="str">
        <f aca="false">IF(VIAJES!$A32="","",VIAJES!K32)</f>
        <v/>
      </c>
    </row>
    <row r="229" customFormat="false" ht="15" hidden="false" customHeight="false" outlineLevel="0" collapsed="false">
      <c r="A229" s="35" t="str">
        <f aca="false">IF(VIAJES!$A33="","",VIAJES!A33)</f>
        <v/>
      </c>
      <c r="B229" s="95" t="str">
        <f aca="false">IF(VIAJES!$A33="","",VIAJES!B33)</f>
        <v/>
      </c>
      <c r="C229" s="35" t="str">
        <f aca="false">IF(VIAJES!$A33="","",VIAJES!I33)</f>
        <v/>
      </c>
      <c r="D229" s="35" t="str">
        <f aca="false">IF(VIAJES!$A33="","",VIAJES!F33)</f>
        <v/>
      </c>
      <c r="E229" s="35" t="str">
        <f aca="false">IF(VIAJES!$A33="","",VIAJES!G33)</f>
        <v/>
      </c>
      <c r="F229" s="35" t="str">
        <f aca="false">IF(VIAJES!$A33="","",VIAJES!J33)</f>
        <v/>
      </c>
      <c r="G229" s="35" t="str">
        <f aca="false">IF(VIAJES!$A33="","",VIAJES!K33)</f>
        <v/>
      </c>
    </row>
    <row r="230" customFormat="false" ht="15" hidden="false" customHeight="false" outlineLevel="0" collapsed="false">
      <c r="A230" s="35" t="str">
        <f aca="false">IF(VIAJES!$A34="","",VIAJES!A34)</f>
        <v/>
      </c>
      <c r="B230" s="95" t="str">
        <f aca="false">IF(VIAJES!$A34="","",VIAJES!B34)</f>
        <v/>
      </c>
      <c r="C230" s="35" t="str">
        <f aca="false">IF(VIAJES!$A34="","",VIAJES!I34)</f>
        <v/>
      </c>
      <c r="D230" s="35" t="str">
        <f aca="false">IF(VIAJES!$A34="","",VIAJES!F34)</f>
        <v/>
      </c>
      <c r="E230" s="35" t="str">
        <f aca="false">IF(VIAJES!$A34="","",VIAJES!G34)</f>
        <v/>
      </c>
      <c r="F230" s="35" t="str">
        <f aca="false">IF(VIAJES!$A34="","",VIAJES!J34)</f>
        <v/>
      </c>
      <c r="G230" s="35" t="str">
        <f aca="false">IF(VIAJES!$A34="","",VIAJES!K34)</f>
        <v/>
      </c>
    </row>
    <row r="231" customFormat="false" ht="15" hidden="false" customHeight="false" outlineLevel="0" collapsed="false">
      <c r="A231" s="35" t="str">
        <f aca="false">IF(VIAJES!$A35="","",VIAJES!A35)</f>
        <v/>
      </c>
      <c r="B231" s="95" t="str">
        <f aca="false">IF(VIAJES!$A35="","",VIAJES!B35)</f>
        <v/>
      </c>
      <c r="C231" s="35" t="str">
        <f aca="false">IF(VIAJES!$A35="","",VIAJES!I35)</f>
        <v/>
      </c>
      <c r="D231" s="35" t="str">
        <f aca="false">IF(VIAJES!$A35="","",VIAJES!F35)</f>
        <v/>
      </c>
      <c r="E231" s="35" t="str">
        <f aca="false">IF(VIAJES!$A35="","",VIAJES!G35)</f>
        <v/>
      </c>
      <c r="F231" s="35" t="str">
        <f aca="false">IF(VIAJES!$A35="","",VIAJES!J35)</f>
        <v/>
      </c>
      <c r="G231" s="35" t="str">
        <f aca="false">IF(VIAJES!$A35="","",VIAJES!K35)</f>
        <v/>
      </c>
    </row>
    <row r="232" customFormat="false" ht="15" hidden="false" customHeight="false" outlineLevel="0" collapsed="false">
      <c r="A232" s="35" t="str">
        <f aca="false">IF(VIAJES!$A36="","",VIAJES!A36)</f>
        <v/>
      </c>
      <c r="B232" s="95" t="str">
        <f aca="false">IF(VIAJES!$A36="","",VIAJES!B36)</f>
        <v/>
      </c>
      <c r="C232" s="35" t="str">
        <f aca="false">IF(VIAJES!$A36="","",VIAJES!I36)</f>
        <v/>
      </c>
      <c r="D232" s="35" t="str">
        <f aca="false">IF(VIAJES!$A36="","",VIAJES!F36)</f>
        <v/>
      </c>
      <c r="E232" s="35" t="str">
        <f aca="false">IF(VIAJES!$A36="","",VIAJES!G36)</f>
        <v/>
      </c>
      <c r="F232" s="35" t="str">
        <f aca="false">IF(VIAJES!$A36="","",VIAJES!J36)</f>
        <v/>
      </c>
      <c r="G232" s="35" t="str">
        <f aca="false">IF(VIAJES!$A36="","",VIAJES!K36)</f>
        <v/>
      </c>
    </row>
    <row r="233" customFormat="false" ht="15" hidden="false" customHeight="false" outlineLevel="0" collapsed="false">
      <c r="A233" s="35" t="str">
        <f aca="false">IF(VIAJES!$A37="","",VIAJES!A37)</f>
        <v/>
      </c>
      <c r="B233" s="95" t="str">
        <f aca="false">IF(VIAJES!$A37="","",VIAJES!B37)</f>
        <v/>
      </c>
      <c r="C233" s="35" t="str">
        <f aca="false">IF(VIAJES!$A37="","",VIAJES!I37)</f>
        <v/>
      </c>
      <c r="D233" s="35" t="str">
        <f aca="false">IF(VIAJES!$A37="","",VIAJES!F37)</f>
        <v/>
      </c>
      <c r="E233" s="35" t="str">
        <f aca="false">IF(VIAJES!$A37="","",VIAJES!G37)</f>
        <v/>
      </c>
      <c r="F233" s="35" t="str">
        <f aca="false">IF(VIAJES!$A37="","",VIAJES!J37)</f>
        <v/>
      </c>
      <c r="G233" s="35" t="str">
        <f aca="false">IF(VIAJES!$A37="","",VIAJES!K37)</f>
        <v/>
      </c>
    </row>
    <row r="234" customFormat="false" ht="15" hidden="false" customHeight="false" outlineLevel="0" collapsed="false">
      <c r="A234" s="35" t="str">
        <f aca="false">IF(VIAJES!$A38="","",VIAJES!A38)</f>
        <v/>
      </c>
      <c r="B234" s="95" t="str">
        <f aca="false">IF(VIAJES!$A38="","",VIAJES!B38)</f>
        <v/>
      </c>
      <c r="C234" s="35" t="str">
        <f aca="false">IF(VIAJES!$A38="","",VIAJES!I38)</f>
        <v/>
      </c>
      <c r="D234" s="35" t="str">
        <f aca="false">IF(VIAJES!$A38="","",VIAJES!F38)</f>
        <v/>
      </c>
      <c r="E234" s="35" t="str">
        <f aca="false">IF(VIAJES!$A38="","",VIAJES!G38)</f>
        <v/>
      </c>
      <c r="F234" s="35" t="str">
        <f aca="false">IF(VIAJES!$A38="","",VIAJES!J38)</f>
        <v/>
      </c>
      <c r="G234" s="35" t="str">
        <f aca="false">IF(VIAJES!$A38="","",VIAJES!K38)</f>
        <v/>
      </c>
    </row>
    <row r="235" customFormat="false" ht="15" hidden="false" customHeight="false" outlineLevel="0" collapsed="false">
      <c r="A235" s="35" t="str">
        <f aca="false">IF(VIAJES!$A39="","",VIAJES!A39)</f>
        <v/>
      </c>
      <c r="B235" s="95" t="str">
        <f aca="false">IF(VIAJES!$A39="","",VIAJES!B39)</f>
        <v/>
      </c>
      <c r="C235" s="35" t="str">
        <f aca="false">IF(VIAJES!$A39="","",VIAJES!I39)</f>
        <v/>
      </c>
      <c r="D235" s="35" t="str">
        <f aca="false">IF(VIAJES!$A39="","",VIAJES!F39)</f>
        <v/>
      </c>
      <c r="E235" s="35" t="str">
        <f aca="false">IF(VIAJES!$A39="","",VIAJES!G39)</f>
        <v/>
      </c>
      <c r="F235" s="35" t="str">
        <f aca="false">IF(VIAJES!$A39="","",VIAJES!J39)</f>
        <v/>
      </c>
      <c r="G235" s="35" t="str">
        <f aca="false">IF(VIAJES!$A39="","",VIAJES!K39)</f>
        <v/>
      </c>
    </row>
    <row r="236" customFormat="false" ht="15" hidden="false" customHeight="false" outlineLevel="0" collapsed="false">
      <c r="A236" s="35" t="str">
        <f aca="false">IF(VIAJES!$A40="","",VIAJES!A40)</f>
        <v/>
      </c>
      <c r="B236" s="95" t="str">
        <f aca="false">IF(VIAJES!$A40="","",VIAJES!B40)</f>
        <v/>
      </c>
      <c r="C236" s="35" t="str">
        <f aca="false">IF(VIAJES!$A40="","",VIAJES!I40)</f>
        <v/>
      </c>
      <c r="D236" s="35" t="str">
        <f aca="false">IF(VIAJES!$A40="","",VIAJES!F40)</f>
        <v/>
      </c>
      <c r="E236" s="35" t="str">
        <f aca="false">IF(VIAJES!$A40="","",VIAJES!G40)</f>
        <v/>
      </c>
      <c r="F236" s="35" t="str">
        <f aca="false">IF(VIAJES!$A40="","",VIAJES!J40)</f>
        <v/>
      </c>
      <c r="G236" s="35" t="str">
        <f aca="false">IF(VIAJES!$A40="","",VIAJES!K40)</f>
        <v/>
      </c>
    </row>
    <row r="237" customFormat="false" ht="15" hidden="false" customHeight="false" outlineLevel="0" collapsed="false">
      <c r="A237" s="35" t="str">
        <f aca="false">IF(VIAJES!$A41="","",VIAJES!A41)</f>
        <v/>
      </c>
      <c r="B237" s="95" t="str">
        <f aca="false">IF(VIAJES!$A41="","",VIAJES!B41)</f>
        <v/>
      </c>
      <c r="C237" s="35" t="str">
        <f aca="false">IF(VIAJES!$A41="","",VIAJES!I41)</f>
        <v/>
      </c>
      <c r="D237" s="35" t="str">
        <f aca="false">IF(VIAJES!$A41="","",VIAJES!F41)</f>
        <v/>
      </c>
      <c r="E237" s="35" t="str">
        <f aca="false">IF(VIAJES!$A41="","",VIAJES!G41)</f>
        <v/>
      </c>
      <c r="F237" s="35" t="str">
        <f aca="false">IF(VIAJES!$A41="","",VIAJES!J41)</f>
        <v/>
      </c>
      <c r="G237" s="35" t="str">
        <f aca="false">IF(VIAJES!$A41="","",VIAJES!K41)</f>
        <v/>
      </c>
    </row>
    <row r="238" customFormat="false" ht="15" hidden="false" customHeight="false" outlineLevel="0" collapsed="false">
      <c r="A238" s="35" t="str">
        <f aca="false">IF(VIAJES!$A42="","",VIAJES!A42)</f>
        <v/>
      </c>
      <c r="B238" s="95" t="str">
        <f aca="false">IF(VIAJES!$A42="","",VIAJES!B42)</f>
        <v/>
      </c>
      <c r="C238" s="35" t="str">
        <f aca="false">IF(VIAJES!$A42="","",VIAJES!I42)</f>
        <v/>
      </c>
      <c r="D238" s="35" t="str">
        <f aca="false">IF(VIAJES!$A42="","",VIAJES!F42)</f>
        <v/>
      </c>
      <c r="E238" s="35" t="str">
        <f aca="false">IF(VIAJES!$A42="","",VIAJES!G42)</f>
        <v/>
      </c>
      <c r="F238" s="35" t="str">
        <f aca="false">IF(VIAJES!$A42="","",VIAJES!J42)</f>
        <v/>
      </c>
      <c r="G238" s="35" t="str">
        <f aca="false">IF(VIAJES!$A42="","",VIAJES!K42)</f>
        <v/>
      </c>
    </row>
    <row r="239" customFormat="false" ht="15" hidden="false" customHeight="false" outlineLevel="0" collapsed="false">
      <c r="A239" s="35" t="str">
        <f aca="false">IF(VIAJES!$A43="","",VIAJES!A43)</f>
        <v/>
      </c>
      <c r="B239" s="95" t="str">
        <f aca="false">IF(VIAJES!$A43="","",VIAJES!B43)</f>
        <v/>
      </c>
      <c r="C239" s="35" t="str">
        <f aca="false">IF(VIAJES!$A43="","",VIAJES!I43)</f>
        <v/>
      </c>
      <c r="D239" s="35" t="str">
        <f aca="false">IF(VIAJES!$A43="","",VIAJES!F43)</f>
        <v/>
      </c>
      <c r="E239" s="35" t="str">
        <f aca="false">IF(VIAJES!$A43="","",VIAJES!G43)</f>
        <v/>
      </c>
      <c r="F239" s="35" t="str">
        <f aca="false">IF(VIAJES!$A43="","",VIAJES!J43)</f>
        <v/>
      </c>
      <c r="G239" s="35" t="str">
        <f aca="false">IF(VIAJES!$A43="","",VIAJES!K43)</f>
        <v/>
      </c>
    </row>
    <row r="240" customFormat="false" ht="15" hidden="false" customHeight="false" outlineLevel="0" collapsed="false">
      <c r="A240" s="35" t="str">
        <f aca="false">IF(VIAJES!$A44="","",VIAJES!A44)</f>
        <v/>
      </c>
      <c r="B240" s="95" t="str">
        <f aca="false">IF(VIAJES!$A44="","",VIAJES!B44)</f>
        <v/>
      </c>
      <c r="C240" s="35" t="str">
        <f aca="false">IF(VIAJES!$A44="","",VIAJES!I44)</f>
        <v/>
      </c>
      <c r="D240" s="35" t="str">
        <f aca="false">IF(VIAJES!$A44="","",VIAJES!F44)</f>
        <v/>
      </c>
      <c r="E240" s="35" t="str">
        <f aca="false">IF(VIAJES!$A44="","",VIAJES!G44)</f>
        <v/>
      </c>
      <c r="F240" s="35" t="str">
        <f aca="false">IF(VIAJES!$A44="","",VIAJES!J44)</f>
        <v/>
      </c>
      <c r="G240" s="35" t="str">
        <f aca="false">IF(VIAJES!$A44="","",VIAJES!K44)</f>
        <v/>
      </c>
    </row>
    <row r="241" customFormat="false" ht="15" hidden="false" customHeight="false" outlineLevel="0" collapsed="false">
      <c r="A241" s="35" t="str">
        <f aca="false">IF(VIAJES!$A45="","",VIAJES!A45)</f>
        <v/>
      </c>
      <c r="B241" s="95" t="str">
        <f aca="false">IF(VIAJES!$A45="","",VIAJES!B45)</f>
        <v/>
      </c>
      <c r="C241" s="35" t="str">
        <f aca="false">IF(VIAJES!$A45="","",VIAJES!I45)</f>
        <v/>
      </c>
      <c r="D241" s="35" t="str">
        <f aca="false">IF(VIAJES!$A45="","",VIAJES!F45)</f>
        <v/>
      </c>
      <c r="E241" s="35" t="str">
        <f aca="false">IF(VIAJES!$A45="","",VIAJES!G45)</f>
        <v/>
      </c>
      <c r="F241" s="35" t="str">
        <f aca="false">IF(VIAJES!$A45="","",VIAJES!J45)</f>
        <v/>
      </c>
      <c r="G241" s="35" t="str">
        <f aca="false">IF(VIAJES!$A45="","",VIAJES!K45)</f>
        <v/>
      </c>
    </row>
    <row r="242" customFormat="false" ht="15" hidden="false" customHeight="false" outlineLevel="0" collapsed="false">
      <c r="A242" s="35" t="str">
        <f aca="false">IF(VIAJES!$A46="","",VIAJES!A46)</f>
        <v/>
      </c>
      <c r="B242" s="95" t="str">
        <f aca="false">IF(VIAJES!$A46="","",VIAJES!B46)</f>
        <v/>
      </c>
      <c r="C242" s="35" t="str">
        <f aca="false">IF(VIAJES!$A46="","",VIAJES!I46)</f>
        <v/>
      </c>
      <c r="D242" s="35" t="str">
        <f aca="false">IF(VIAJES!$A46="","",VIAJES!F46)</f>
        <v/>
      </c>
      <c r="E242" s="35" t="str">
        <f aca="false">IF(VIAJES!$A46="","",VIAJES!G46)</f>
        <v/>
      </c>
      <c r="F242" s="35" t="str">
        <f aca="false">IF(VIAJES!$A46="","",VIAJES!J46)</f>
        <v/>
      </c>
      <c r="G242" s="35" t="str">
        <f aca="false">IF(VIAJES!$A46="","",VIAJES!K46)</f>
        <v/>
      </c>
    </row>
    <row r="243" customFormat="false" ht="15" hidden="false" customHeight="false" outlineLevel="0" collapsed="false">
      <c r="A243" s="35" t="str">
        <f aca="false">IF(VIAJES!$A47="","",VIAJES!A47)</f>
        <v/>
      </c>
      <c r="B243" s="95" t="str">
        <f aca="false">IF(VIAJES!$A47="","",VIAJES!B47)</f>
        <v/>
      </c>
      <c r="C243" s="35" t="str">
        <f aca="false">IF(VIAJES!$A47="","",VIAJES!I47)</f>
        <v/>
      </c>
      <c r="D243" s="35" t="str">
        <f aca="false">IF(VIAJES!$A47="","",VIAJES!F47)</f>
        <v/>
      </c>
      <c r="E243" s="35" t="str">
        <f aca="false">IF(VIAJES!$A47="","",VIAJES!G47)</f>
        <v/>
      </c>
      <c r="F243" s="35" t="str">
        <f aca="false">IF(VIAJES!$A47="","",VIAJES!J47)</f>
        <v/>
      </c>
      <c r="G243" s="35" t="str">
        <f aca="false">IF(VIAJES!$A47="","",VIAJES!K47)</f>
        <v/>
      </c>
    </row>
    <row r="244" customFormat="false" ht="15" hidden="false" customHeight="false" outlineLevel="0" collapsed="false">
      <c r="A244" s="35" t="str">
        <f aca="false">IF(VIAJES!$A48="","",VIAJES!A48)</f>
        <v/>
      </c>
      <c r="B244" s="95" t="str">
        <f aca="false">IF(VIAJES!$A48="","",VIAJES!B48)</f>
        <v/>
      </c>
      <c r="C244" s="35" t="str">
        <f aca="false">IF(VIAJES!$A48="","",VIAJES!I48)</f>
        <v/>
      </c>
      <c r="D244" s="35" t="str">
        <f aca="false">IF(VIAJES!$A48="","",VIAJES!F48)</f>
        <v/>
      </c>
      <c r="E244" s="35" t="str">
        <f aca="false">IF(VIAJES!$A48="","",VIAJES!G48)</f>
        <v/>
      </c>
      <c r="F244" s="35" t="str">
        <f aca="false">IF(VIAJES!$A48="","",VIAJES!J48)</f>
        <v/>
      </c>
      <c r="G244" s="35" t="str">
        <f aca="false">IF(VIAJES!$A48="","",VIAJES!K48)</f>
        <v/>
      </c>
    </row>
    <row r="245" customFormat="false" ht="15" hidden="false" customHeight="false" outlineLevel="0" collapsed="false">
      <c r="A245" s="35" t="str">
        <f aca="false">IF(VIAJES!$A49="","",VIAJES!A49)</f>
        <v/>
      </c>
      <c r="B245" s="95" t="str">
        <f aca="false">IF(VIAJES!$A49="","",VIAJES!B49)</f>
        <v/>
      </c>
      <c r="C245" s="35" t="str">
        <f aca="false">IF(VIAJES!$A49="","",VIAJES!I49)</f>
        <v/>
      </c>
      <c r="D245" s="35" t="str">
        <f aca="false">IF(VIAJES!$A49="","",VIAJES!F49)</f>
        <v/>
      </c>
      <c r="E245" s="35" t="str">
        <f aca="false">IF(VIAJES!$A49="","",VIAJES!G49)</f>
        <v/>
      </c>
      <c r="F245" s="35" t="str">
        <f aca="false">IF(VIAJES!$A49="","",VIAJES!J49)</f>
        <v/>
      </c>
      <c r="G245" s="35" t="str">
        <f aca="false">IF(VIAJES!$A49="","",VIAJES!K49)</f>
        <v/>
      </c>
    </row>
    <row r="246" customFormat="false" ht="15" hidden="false" customHeight="false" outlineLevel="0" collapsed="false">
      <c r="A246" s="35" t="str">
        <f aca="false">IF(VIAJES!$A50="","",VIAJES!A50)</f>
        <v/>
      </c>
      <c r="B246" s="95" t="str">
        <f aca="false">IF(VIAJES!$A50="","",VIAJES!B50)</f>
        <v/>
      </c>
      <c r="C246" s="35" t="str">
        <f aca="false">IF(VIAJES!$A50="","",VIAJES!I50)</f>
        <v/>
      </c>
      <c r="D246" s="35" t="str">
        <f aca="false">IF(VIAJES!$A50="","",VIAJES!F50)</f>
        <v/>
      </c>
      <c r="E246" s="35" t="str">
        <f aca="false">IF(VIAJES!$A50="","",VIAJES!G50)</f>
        <v/>
      </c>
      <c r="F246" s="35" t="str">
        <f aca="false">IF(VIAJES!$A50="","",VIAJES!J50)</f>
        <v/>
      </c>
      <c r="G246" s="35" t="str">
        <f aca="false">IF(VIAJES!$A50="","",VIAJES!K50)</f>
        <v/>
      </c>
    </row>
    <row r="247" customFormat="false" ht="15" hidden="false" customHeight="false" outlineLevel="0" collapsed="false">
      <c r="A247" s="35" t="str">
        <f aca="false">IF(VIAJES!$A51="","",VIAJES!A51)</f>
        <v/>
      </c>
      <c r="B247" s="95" t="str">
        <f aca="false">IF(VIAJES!$A51="","",VIAJES!B51)</f>
        <v/>
      </c>
      <c r="C247" s="35" t="str">
        <f aca="false">IF(VIAJES!$A51="","",VIAJES!I51)</f>
        <v/>
      </c>
      <c r="D247" s="35" t="str">
        <f aca="false">IF(VIAJES!$A51="","",VIAJES!F51)</f>
        <v/>
      </c>
      <c r="E247" s="35" t="str">
        <f aca="false">IF(VIAJES!$A51="","",VIAJES!G51)</f>
        <v/>
      </c>
      <c r="F247" s="35" t="str">
        <f aca="false">IF(VIAJES!$A51="","",VIAJES!J51)</f>
        <v/>
      </c>
      <c r="G247" s="35" t="str">
        <f aca="false">IF(VIAJES!$A51="","",VIAJES!K51)</f>
        <v/>
      </c>
    </row>
    <row r="248" customFormat="false" ht="15" hidden="false" customHeight="false" outlineLevel="0" collapsed="false">
      <c r="A248" s="35" t="str">
        <f aca="false">IF(VIAJES!$A52="","",VIAJES!A52)</f>
        <v/>
      </c>
      <c r="B248" s="95" t="str">
        <f aca="false">IF(VIAJES!$A52="","",VIAJES!B52)</f>
        <v/>
      </c>
      <c r="C248" s="35" t="str">
        <f aca="false">IF(VIAJES!$A52="","",VIAJES!I52)</f>
        <v/>
      </c>
      <c r="D248" s="35" t="str">
        <f aca="false">IF(VIAJES!$A52="","",VIAJES!F52)</f>
        <v/>
      </c>
      <c r="E248" s="35" t="str">
        <f aca="false">IF(VIAJES!$A52="","",VIAJES!G52)</f>
        <v/>
      </c>
      <c r="F248" s="35" t="str">
        <f aca="false">IF(VIAJES!$A52="","",VIAJES!J52)</f>
        <v/>
      </c>
      <c r="G248" s="35" t="str">
        <f aca="false">IF(VIAJES!$A52="","",VIAJES!K52)</f>
        <v/>
      </c>
    </row>
    <row r="249" customFormat="false" ht="15" hidden="false" customHeight="false" outlineLevel="0" collapsed="false">
      <c r="A249" s="35" t="str">
        <f aca="false">IF(VIAJES!$A53="","",VIAJES!A53)</f>
        <v/>
      </c>
      <c r="B249" s="95" t="str">
        <f aca="false">IF(VIAJES!$A53="","",VIAJES!B53)</f>
        <v/>
      </c>
      <c r="C249" s="35" t="str">
        <f aca="false">IF(VIAJES!$A53="","",VIAJES!I53)</f>
        <v/>
      </c>
      <c r="D249" s="35" t="str">
        <f aca="false">IF(VIAJES!$A53="","",VIAJES!F53)</f>
        <v/>
      </c>
      <c r="E249" s="35" t="str">
        <f aca="false">IF(VIAJES!$A53="","",VIAJES!G53)</f>
        <v/>
      </c>
      <c r="F249" s="35" t="str">
        <f aca="false">IF(VIAJES!$A53="","",VIAJES!J53)</f>
        <v/>
      </c>
      <c r="G249" s="35" t="str">
        <f aca="false">IF(VIAJES!$A53="","",VIAJES!K53)</f>
        <v/>
      </c>
    </row>
    <row r="250" customFormat="false" ht="15" hidden="false" customHeight="false" outlineLevel="0" collapsed="false">
      <c r="A250" s="35" t="str">
        <f aca="false">IF(VIAJES!$A54="","",VIAJES!A54)</f>
        <v/>
      </c>
      <c r="B250" s="95" t="str">
        <f aca="false">IF(VIAJES!$A54="","",VIAJES!B54)</f>
        <v/>
      </c>
      <c r="C250" s="35" t="str">
        <f aca="false">IF(VIAJES!$A54="","",VIAJES!I54)</f>
        <v/>
      </c>
      <c r="D250" s="35" t="str">
        <f aca="false">IF(VIAJES!$A54="","",VIAJES!F54)</f>
        <v/>
      </c>
      <c r="E250" s="35" t="str">
        <f aca="false">IF(VIAJES!$A54="","",VIAJES!G54)</f>
        <v/>
      </c>
      <c r="F250" s="35" t="str">
        <f aca="false">IF(VIAJES!$A54="","",VIAJES!J54)</f>
        <v/>
      </c>
      <c r="G250" s="35" t="str">
        <f aca="false">IF(VIAJES!$A54="","",VIAJES!K54)</f>
        <v/>
      </c>
    </row>
    <row r="251" customFormat="false" ht="15" hidden="false" customHeight="false" outlineLevel="0" collapsed="false">
      <c r="A251" s="35" t="str">
        <f aca="false">IF(VIAJES!$A55="","",VIAJES!A55)</f>
        <v/>
      </c>
      <c r="B251" s="95" t="str">
        <f aca="false">IF(VIAJES!$A55="","",VIAJES!B55)</f>
        <v/>
      </c>
      <c r="C251" s="35" t="str">
        <f aca="false">IF(VIAJES!$A55="","",VIAJES!I55)</f>
        <v/>
      </c>
      <c r="D251" s="35" t="str">
        <f aca="false">IF(VIAJES!$A55="","",VIAJES!F55)</f>
        <v/>
      </c>
      <c r="E251" s="35" t="str">
        <f aca="false">IF(VIAJES!$A55="","",VIAJES!G55)</f>
        <v/>
      </c>
      <c r="F251" s="35" t="str">
        <f aca="false">IF(VIAJES!$A55="","",VIAJES!J55)</f>
        <v/>
      </c>
      <c r="G251" s="35" t="str">
        <f aca="false">IF(VIAJES!$A55="","",VIAJES!K55)</f>
        <v/>
      </c>
    </row>
    <row r="252" customFormat="false" ht="15" hidden="false" customHeight="false" outlineLevel="0" collapsed="false">
      <c r="A252" s="35" t="str">
        <f aca="false">IF(VIAJES!$A56="","",VIAJES!A56)</f>
        <v/>
      </c>
      <c r="B252" s="95" t="str">
        <f aca="false">IF(VIAJES!$A56="","",VIAJES!B56)</f>
        <v/>
      </c>
      <c r="C252" s="35" t="str">
        <f aca="false">IF(VIAJES!$A56="","",VIAJES!I56)</f>
        <v/>
      </c>
      <c r="D252" s="35" t="str">
        <f aca="false">IF(VIAJES!$A56="","",VIAJES!F56)</f>
        <v/>
      </c>
      <c r="E252" s="35" t="str">
        <f aca="false">IF(VIAJES!$A56="","",VIAJES!G56)</f>
        <v/>
      </c>
      <c r="F252" s="35" t="str">
        <f aca="false">IF(VIAJES!$A56="","",VIAJES!J56)</f>
        <v/>
      </c>
      <c r="G252" s="35" t="str">
        <f aca="false">IF(VIAJES!$A56="","",VIAJES!K56)</f>
        <v/>
      </c>
    </row>
    <row r="253" customFormat="false" ht="15" hidden="false" customHeight="false" outlineLevel="0" collapsed="false">
      <c r="A253" s="35" t="str">
        <f aca="false">IF(VIAJES!$A57="","",VIAJES!A57)</f>
        <v/>
      </c>
      <c r="B253" s="95" t="str">
        <f aca="false">IF(VIAJES!$A57="","",VIAJES!B57)</f>
        <v/>
      </c>
      <c r="C253" s="35" t="str">
        <f aca="false">IF(VIAJES!$A57="","",VIAJES!I57)</f>
        <v/>
      </c>
      <c r="D253" s="35" t="str">
        <f aca="false">IF(VIAJES!$A57="","",VIAJES!F57)</f>
        <v/>
      </c>
      <c r="E253" s="35" t="str">
        <f aca="false">IF(VIAJES!$A57="","",VIAJES!G57)</f>
        <v/>
      </c>
      <c r="F253" s="35" t="str">
        <f aca="false">IF(VIAJES!$A57="","",VIAJES!J57)</f>
        <v/>
      </c>
      <c r="G253" s="35" t="str">
        <f aca="false">IF(VIAJES!$A57="","",VIAJES!K57)</f>
        <v/>
      </c>
    </row>
    <row r="254" customFormat="false" ht="15" hidden="false" customHeight="false" outlineLevel="0" collapsed="false">
      <c r="A254" s="35" t="str">
        <f aca="false">IF(VIAJES!$A58="","",VIAJES!A58)</f>
        <v/>
      </c>
      <c r="B254" s="95" t="str">
        <f aca="false">IF(VIAJES!$A58="","",VIAJES!B58)</f>
        <v/>
      </c>
      <c r="C254" s="35" t="str">
        <f aca="false">IF(VIAJES!$A58="","",VIAJES!I58)</f>
        <v/>
      </c>
      <c r="D254" s="35" t="str">
        <f aca="false">IF(VIAJES!$A58="","",VIAJES!F58)</f>
        <v/>
      </c>
      <c r="E254" s="35" t="str">
        <f aca="false">IF(VIAJES!$A58="","",VIAJES!G58)</f>
        <v/>
      </c>
      <c r="F254" s="35" t="str">
        <f aca="false">IF(VIAJES!$A58="","",VIAJES!J58)</f>
        <v/>
      </c>
      <c r="G254" s="35" t="str">
        <f aca="false">IF(VIAJES!$A58="","",VIAJES!K58)</f>
        <v/>
      </c>
    </row>
    <row r="255" customFormat="false" ht="15" hidden="false" customHeight="false" outlineLevel="0" collapsed="false">
      <c r="A255" s="35" t="str">
        <f aca="false">IF(VIAJES!$A59="","",VIAJES!A59)</f>
        <v/>
      </c>
      <c r="B255" s="95" t="str">
        <f aca="false">IF(VIAJES!$A59="","",VIAJES!B59)</f>
        <v/>
      </c>
      <c r="C255" s="35" t="str">
        <f aca="false">IF(VIAJES!$A59="","",VIAJES!I59)</f>
        <v/>
      </c>
      <c r="D255" s="35" t="str">
        <f aca="false">IF(VIAJES!$A59="","",VIAJES!F59)</f>
        <v/>
      </c>
      <c r="E255" s="35" t="str">
        <f aca="false">IF(VIAJES!$A59="","",VIAJES!G59)</f>
        <v/>
      </c>
      <c r="F255" s="35" t="str">
        <f aca="false">IF(VIAJES!$A59="","",VIAJES!J59)</f>
        <v/>
      </c>
      <c r="G255" s="35" t="str">
        <f aca="false">IF(VIAJES!$A59="","",VIAJES!K59)</f>
        <v/>
      </c>
    </row>
    <row r="256" customFormat="false" ht="15" hidden="false" customHeight="false" outlineLevel="0" collapsed="false">
      <c r="A256" s="35" t="str">
        <f aca="false">IF(VIAJES!$A60="","",VIAJES!A60)</f>
        <v/>
      </c>
      <c r="B256" s="95" t="str">
        <f aca="false">IF(VIAJES!$A60="","",VIAJES!B60)</f>
        <v/>
      </c>
      <c r="C256" s="35" t="str">
        <f aca="false">IF(VIAJES!$A60="","",VIAJES!I60)</f>
        <v/>
      </c>
      <c r="D256" s="35" t="str">
        <f aca="false">IF(VIAJES!$A60="","",VIAJES!F60)</f>
        <v/>
      </c>
      <c r="E256" s="35" t="str">
        <f aca="false">IF(VIAJES!$A60="","",VIAJES!G60)</f>
        <v/>
      </c>
      <c r="F256" s="35" t="str">
        <f aca="false">IF(VIAJES!$A60="","",VIAJES!J60)</f>
        <v/>
      </c>
      <c r="G256" s="35" t="str">
        <f aca="false">IF(VIAJES!$A60="","",VIAJES!K60)</f>
        <v/>
      </c>
    </row>
    <row r="257" customFormat="false" ht="15" hidden="false" customHeight="false" outlineLevel="0" collapsed="false">
      <c r="A257" s="35" t="str">
        <f aca="false">IF(VIAJES!$A61="","",VIAJES!A61)</f>
        <v/>
      </c>
      <c r="B257" s="95" t="str">
        <f aca="false">IF(VIAJES!$A61="","",VIAJES!B61)</f>
        <v/>
      </c>
      <c r="C257" s="35" t="str">
        <f aca="false">IF(VIAJES!$A61="","",VIAJES!I61)</f>
        <v/>
      </c>
      <c r="D257" s="35" t="str">
        <f aca="false">IF(VIAJES!$A61="","",VIAJES!F61)</f>
        <v/>
      </c>
      <c r="E257" s="35" t="str">
        <f aca="false">IF(VIAJES!$A61="","",VIAJES!G61)</f>
        <v/>
      </c>
      <c r="F257" s="35" t="str">
        <f aca="false">IF(VIAJES!$A61="","",VIAJES!J61)</f>
        <v/>
      </c>
      <c r="G257" s="35" t="str">
        <f aca="false">IF(VIAJES!$A61="","",VIAJES!K61)</f>
        <v/>
      </c>
    </row>
    <row r="258" customFormat="false" ht="15" hidden="false" customHeight="false" outlineLevel="0" collapsed="false">
      <c r="A258" s="35" t="str">
        <f aca="false">IF(VIAJES!$A62="","",VIAJES!A62)</f>
        <v/>
      </c>
      <c r="B258" s="95" t="str">
        <f aca="false">IF(VIAJES!$A62="","",VIAJES!B62)</f>
        <v/>
      </c>
      <c r="C258" s="35" t="str">
        <f aca="false">IF(VIAJES!$A62="","",VIAJES!I62)</f>
        <v/>
      </c>
      <c r="D258" s="35" t="str">
        <f aca="false">IF(VIAJES!$A62="","",VIAJES!F62)</f>
        <v/>
      </c>
      <c r="E258" s="35" t="str">
        <f aca="false">IF(VIAJES!$A62="","",VIAJES!G62)</f>
        <v/>
      </c>
      <c r="F258" s="35" t="str">
        <f aca="false">IF(VIAJES!$A62="","",VIAJES!J62)</f>
        <v/>
      </c>
      <c r="G258" s="35" t="str">
        <f aca="false">IF(VIAJES!$A62="","",VIAJES!K62)</f>
        <v/>
      </c>
    </row>
    <row r="259" customFormat="false" ht="15" hidden="false" customHeight="false" outlineLevel="0" collapsed="false">
      <c r="A259" s="35" t="str">
        <f aca="false">IF(VIAJES!$A63="","",VIAJES!A63)</f>
        <v/>
      </c>
      <c r="B259" s="95" t="str">
        <f aca="false">IF(VIAJES!$A63="","",VIAJES!B63)</f>
        <v/>
      </c>
      <c r="C259" s="35" t="str">
        <f aca="false">IF(VIAJES!$A63="","",VIAJES!I63)</f>
        <v/>
      </c>
      <c r="D259" s="35" t="str">
        <f aca="false">IF(VIAJES!$A63="","",VIAJES!F63)</f>
        <v/>
      </c>
      <c r="E259" s="35" t="str">
        <f aca="false">IF(VIAJES!$A63="","",VIAJES!G63)</f>
        <v/>
      </c>
      <c r="F259" s="35" t="str">
        <f aca="false">IF(VIAJES!$A63="","",VIAJES!J63)</f>
        <v/>
      </c>
      <c r="G259" s="35" t="str">
        <f aca="false">IF(VIAJES!$A63="","",VIAJES!K63)</f>
        <v/>
      </c>
    </row>
    <row r="260" customFormat="false" ht="15" hidden="false" customHeight="false" outlineLevel="0" collapsed="false">
      <c r="A260" s="35" t="str">
        <f aca="false">IF(VIAJES!$A64="","",VIAJES!A64)</f>
        <v/>
      </c>
      <c r="B260" s="95" t="str">
        <f aca="false">IF(VIAJES!$A64="","",VIAJES!B64)</f>
        <v/>
      </c>
      <c r="C260" s="35" t="str">
        <f aca="false">IF(VIAJES!$A64="","",VIAJES!I64)</f>
        <v/>
      </c>
      <c r="D260" s="35" t="str">
        <f aca="false">IF(VIAJES!$A64="","",VIAJES!F64)</f>
        <v/>
      </c>
      <c r="E260" s="35" t="str">
        <f aca="false">IF(VIAJES!$A64="","",VIAJES!G64)</f>
        <v/>
      </c>
      <c r="F260" s="35" t="str">
        <f aca="false">IF(VIAJES!$A64="","",VIAJES!J64)</f>
        <v/>
      </c>
      <c r="G260" s="35" t="str">
        <f aca="false">IF(VIAJES!$A64="","",VIAJES!K64)</f>
        <v/>
      </c>
    </row>
    <row r="261" customFormat="false" ht="15" hidden="false" customHeight="false" outlineLevel="0" collapsed="false">
      <c r="A261" s="35" t="str">
        <f aca="false">IF(VIAJES!$A65="","",VIAJES!A65)</f>
        <v/>
      </c>
      <c r="B261" s="95" t="str">
        <f aca="false">IF(VIAJES!$A65="","",VIAJES!B65)</f>
        <v/>
      </c>
      <c r="C261" s="35" t="str">
        <f aca="false">IF(VIAJES!$A65="","",VIAJES!I65)</f>
        <v/>
      </c>
      <c r="D261" s="35" t="str">
        <f aca="false">IF(VIAJES!$A65="","",VIAJES!F65)</f>
        <v/>
      </c>
      <c r="E261" s="35" t="str">
        <f aca="false">IF(VIAJES!$A65="","",VIAJES!G65)</f>
        <v/>
      </c>
      <c r="F261" s="35" t="str">
        <f aca="false">IF(VIAJES!$A65="","",VIAJES!J65)</f>
        <v/>
      </c>
      <c r="G261" s="35" t="str">
        <f aca="false">IF(VIAJES!$A65="","",VIAJES!K65)</f>
        <v/>
      </c>
    </row>
    <row r="263" customFormat="false" ht="15" hidden="false" customHeight="false" outlineLevel="0" collapsed="false">
      <c r="A263" s="88" t="s">
        <v>1009</v>
      </c>
    </row>
    <row r="264" customFormat="false" ht="15" hidden="false" customHeight="false" outlineLevel="0" collapsed="false">
      <c r="A264" s="89" t="s">
        <v>977</v>
      </c>
      <c r="B264" s="89" t="s">
        <v>1010</v>
      </c>
      <c r="C264" s="89" t="s">
        <v>1011</v>
      </c>
      <c r="D264" s="89" t="s">
        <v>1012</v>
      </c>
      <c r="E264" s="89" t="s">
        <v>1013</v>
      </c>
    </row>
    <row r="265" customFormat="false" ht="15" hidden="false" customHeight="false" outlineLevel="0" collapsed="false">
      <c r="A265" s="35" t="str">
        <f aca="false">VIAJES!E5</f>
        <v>Aportación mensual</v>
      </c>
      <c r="B265" s="91" t="n">
        <f aca="false">VIAJES!H5</f>
        <v>150</v>
      </c>
      <c r="C265" s="91" t="n">
        <f aca="false">VIAJES!I5</f>
        <v>100</v>
      </c>
      <c r="D265" s="91" t="n">
        <f aca="false">VIAJES!J5</f>
        <v>200</v>
      </c>
      <c r="E265" s="91" t="n">
        <f aca="false">VIAJES!K5</f>
        <v>250</v>
      </c>
    </row>
    <row r="266" customFormat="false" ht="15" hidden="false" customHeight="false" outlineLevel="0" collapsed="false">
      <c r="A266" s="35" t="str">
        <f aca="false">VIAJES!E6</f>
        <v>Saldo de la cuenta a fin de 2026</v>
      </c>
      <c r="B266" s="96" t="n">
        <f aca="false">VIAJES!H6</f>
        <v>1900</v>
      </c>
      <c r="C266" s="96" t="n">
        <f aca="false">VIAJES!I6</f>
        <v>1150</v>
      </c>
      <c r="D266" s="96" t="n">
        <f aca="false">VIAJES!J6</f>
        <v>2650</v>
      </c>
      <c r="E266" s="96" t="n">
        <f aca="false">VIAJES!K6</f>
        <v>3400</v>
      </c>
    </row>
    <row r="267" customFormat="false" ht="15" hidden="false" customHeight="false" outlineLevel="0" collapsed="false">
      <c r="A267" s="35" t="str">
        <f aca="false">VIAJES!E7</f>
        <v>Saldo de la cuenta a fin de 2027</v>
      </c>
      <c r="B267" s="96" t="n">
        <f aca="false">VIAJES!H7</f>
        <v>2900</v>
      </c>
      <c r="C267" s="96" t="n">
        <f aca="false">VIAJES!I7</f>
        <v>1550</v>
      </c>
      <c r="D267" s="96" t="n">
        <f aca="false">VIAJES!J7</f>
        <v>4250</v>
      </c>
      <c r="E267" s="96" t="n">
        <f aca="false">VIAJES!K7</f>
        <v>5600</v>
      </c>
    </row>
    <row r="268" customFormat="false" ht="15" hidden="false" customHeight="false" outlineLevel="0" collapsed="false">
      <c r="A268" s="35" t="str">
        <f aca="false">VIAJES!E8</f>
        <v>Saldo más bajo justo después de un viaje</v>
      </c>
      <c r="B268" s="96" t="n">
        <f aca="false">VIAJES!H8</f>
        <v>1700</v>
      </c>
      <c r="C268" s="96" t="n">
        <f aca="false">VIAJES!I8</f>
        <v>750</v>
      </c>
      <c r="D268" s="96" t="n">
        <f aca="false">VIAJES!J8</f>
        <v>2450</v>
      </c>
      <c r="E268" s="96" t="n">
        <f aca="false">VIAJES!K8</f>
        <v>3150</v>
      </c>
    </row>
    <row r="269" customFormat="false" ht="15" hidden="false" customHeight="false" outlineLevel="0" collapsed="false">
      <c r="A269" s="35" t="str">
        <f aca="false">VIAJES!E9</f>
        <v>¿Llegas a todos los viajes?</v>
      </c>
      <c r="B269" s="35" t="str">
        <f aca="false">VIAJES!H9</f>
        <v>🟢 Sí</v>
      </c>
      <c r="C269" s="35" t="str">
        <f aca="false">VIAJES!I9</f>
        <v>🟢 Sí</v>
      </c>
      <c r="D269" s="35" t="str">
        <f aca="false">VIAJES!J9</f>
        <v>🟢 Sí</v>
      </c>
      <c r="E269" s="35" t="str">
        <f aca="false">VIAJES!K9</f>
        <v>🟢 Sí</v>
      </c>
    </row>
    <row r="270" customFormat="false" ht="15" hidden="false" customHeight="false" outlineLevel="0" collapsed="false">
      <c r="A270" s="35" t="str">
        <f aca="false">VIAJES!E10</f>
        <v>Ahorro que te queda al mes</v>
      </c>
      <c r="B270" s="96" t="n">
        <f aca="false">VIAJES!H10</f>
        <v>976.86</v>
      </c>
      <c r="C270" s="96" t="n">
        <f aca="false">VIAJES!I10</f>
        <v>1026.86</v>
      </c>
      <c r="D270" s="96" t="n">
        <f aca="false">VIAJES!J10</f>
        <v>926.86</v>
      </c>
      <c r="E270" s="96" t="n">
        <f aca="false">VIAJES!K10</f>
        <v>876.86</v>
      </c>
    </row>
    <row r="271" customFormat="false" ht="15" hidden="false" customHeight="false" outlineLevel="0" collapsed="false">
      <c r="A271" s="35" t="str">
        <f aca="false">VIAJES!E11</f>
        <v>% de tus ingresos que ahorras</v>
      </c>
      <c r="B271" s="92" t="n">
        <f aca="false">VIAJES!H11</f>
        <v>0.371795916826811</v>
      </c>
      <c r="C271" s="92" t="n">
        <f aca="false">VIAJES!I11</f>
        <v>0.390826070422352</v>
      </c>
      <c r="D271" s="92" t="n">
        <f aca="false">VIAJES!J11</f>
        <v>0.352765763231269</v>
      </c>
      <c r="E271" s="92" t="n">
        <f aca="false">VIAJES!K11</f>
        <v>0.333735609635728</v>
      </c>
    </row>
    <row r="272" customFormat="false" ht="15" hidden="false" customHeight="false" outlineLevel="0" collapsed="false">
      <c r="A272" s="35" t="str">
        <f aca="false">VIAJES!E12</f>
        <v>Patrimonio líquido a los 67</v>
      </c>
      <c r="B272" s="91" t="n">
        <f aca="false">VIAJES!H12</f>
        <v>502169.24534427</v>
      </c>
      <c r="C272" s="91" t="n">
        <f aca="false">VIAJES!I12</f>
        <v>518991.890913813</v>
      </c>
      <c r="D272" s="91" t="n">
        <f aca="false">VIAJES!J12</f>
        <v>485346.599774726</v>
      </c>
      <c r="E272" s="91" t="n">
        <f aca="false">VIAJES!K12</f>
        <v>468523.954205182</v>
      </c>
    </row>
    <row r="273" customFormat="false" ht="15" hidden="false" customHeight="false" outlineLevel="0" collapsed="false">
      <c r="A273" s="35" t="str">
        <f aca="false">VIAJES!E13</f>
        <v>Libertad financiera a los 67</v>
      </c>
      <c r="B273" s="92" t="n">
        <f aca="false">VIAJES!H13</f>
        <v>0.533678725972287</v>
      </c>
      <c r="C273" s="92" t="n">
        <f aca="false">VIAJES!I13</f>
        <v>0.568787178007383</v>
      </c>
      <c r="D273" s="92" t="n">
        <f aca="false">VIAJES!J13</f>
        <v>0.500634810071946</v>
      </c>
      <c r="E273" s="92" t="n">
        <f aca="false">VIAJES!K13</f>
        <v>0.469478525580626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2026-10-12T12:06:13Z</dcterms:created>
  <dc:creator>openpyxl</dc:creator>
  <dc:description/>
  <dc:language>en-US</dc:language>
  <cp:lastModifiedBy/>
  <dcterms:modified xsi:type="dcterms:W3CDTF">2026-10-12T14:06:17Z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